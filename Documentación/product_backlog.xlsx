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Resumen" sheetId="2" state="visible" r:id="rId4"/>
    <sheet name="Guia" sheetId="3" state="visible" r:id="rId5"/>
  </sheets>
  <definedNames>
    <definedName function="false" hidden="true" localSheetId="0" name="_xlnm._FilterDatabase" vbProcedure="false">Backlog!$A$1:$J$124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<sst xmlns="http://schemas.openxmlformats.org/spreadsheetml/2006/main" count="1226" uniqueCount="614">
  <si>
    <t xml:space="preserve">ID</t>
  </si>
  <si>
    <t xml:space="preserve">Epica</t>
  </si>
  <si>
    <t xml:space="preserve">Titulo</t>
  </si>
  <si>
    <t xml:space="preserve">Historia de Usuario</t>
  </si>
  <si>
    <t xml:space="preserve">Criterios de Aceptacion</t>
  </si>
  <si>
    <t xml:space="preserve">Prioridad</t>
  </si>
  <si>
    <t xml:space="preserve">Estimacion</t>
  </si>
  <si>
    <t xml:space="preserve">Estado</t>
  </si>
  <si>
    <t xml:space="preserve">Release</t>
  </si>
  <si>
    <t xml:space="preserve">Notas Tecnicas</t>
  </si>
  <si>
    <t xml:space="preserve">ING-01</t>
  </si>
  <si>
    <t xml:space="preserve">Ingesta y Deteccion</t>
  </si>
  <si>
    <t xml:space="preserve">Conexion RTSP a camaras IP</t>
  </si>
  <si>
    <t xml:space="preserve">Como sistema, quiero conectarme a cada camara via RTSP para procesar su stream de video.</t>
  </si>
  <si>
    <t xml:space="preserve">Soporta URL con user:pass; reconecta si se cae; loguea estado.</t>
  </si>
  <si>
    <t xml:space="preserve">P0</t>
  </si>
  <si>
    <t xml:space="preserve">M</t>
  </si>
  <si>
    <t xml:space="preserve">Hecho</t>
  </si>
  <si>
    <t xml:space="preserve">v0.1 MVP</t>
  </si>
  <si>
    <t xml:space="preserve">detector.py - implementado con OpenCV.</t>
  </si>
  <si>
    <t xml:space="preserve">ING-02</t>
  </si>
  <si>
    <t xml:space="preserve">Soporte dual: RTSP nativo + MediaMTX</t>
  </si>
  <si>
    <t xml:space="preserve">Como usuario, quiero elegir entre RTSP directo o proxy MediaMTX para camaras inestables.</t>
  </si>
  <si>
    <t xml:space="preserve">Flag modo_hw; fallback automatico a ip_respaldo; config en DB.</t>
  </si>
  <si>
    <t xml:space="preserve">ING-03</t>
  </si>
  <si>
    <t xml:space="preserve">Deteccion de personas con YOLO</t>
  </si>
  <si>
    <t xml:space="preserve">Como sistema, quiero detectar personas en cada frame para decidir si disparar analisis profundo.</t>
  </si>
  <si>
    <t xml:space="preserve">Modelo YOLOv8; bbox + confianza + track_id; filtrar por clase 'person'.</t>
  </si>
  <si>
    <t xml:space="preserve">L</t>
  </si>
  <si>
    <t xml:space="preserve">yolo_detector.py - usa ultralytics.</t>
  </si>
  <si>
    <t xml:space="preserve">ING-04</t>
  </si>
  <si>
    <t xml:space="preserve">Multi-camara en paralelo</t>
  </si>
  <si>
    <t xml:space="preserve">Como usuario, quiero monitorear multiples camaras simultaneamente sin degradacion.</t>
  </si>
  <si>
    <t xml:space="preserve">Un thread por camara; misma GPU compartida; no se bloquean entre si.</t>
  </si>
  <si>
    <t xml:space="preserve">ING-05</t>
  </si>
  <si>
    <t xml:space="preserve">Reconexion automatica</t>
  </si>
  <si>
    <t xml:space="preserve">Como sistema, quiero recuperarme solo si una camara se desconecta temporalmente.</t>
  </si>
  <si>
    <t xml:space="preserve">Backoff exponencial; log de caida y reconexion; marca estado_salud.</t>
  </si>
  <si>
    <t xml:space="preserve">S</t>
  </si>
  <si>
    <t xml:space="preserve">ING-06</t>
  </si>
  <si>
    <t xml:space="preserve">Anti-duplicados con track_id</t>
  </si>
  <si>
    <t xml:space="preserve">Como sistema, no quiero disparar LLaVA mil veces por la misma persona cruzando camara.</t>
  </si>
  <si>
    <t xml:space="preserve">track_id de YOLO persiste por N frames; solo nuevos tracks disparan analisis.</t>
  </si>
  <si>
    <t xml:space="preserve">ING-07</t>
  </si>
  <si>
    <t xml:space="preserve">Detectar mas clases (vehiculos, paquetes)</t>
  </si>
  <si>
    <t xml:space="preserve">Como usuario, quiero detectar autos, motos y paquetes abandonados, no solo personas.</t>
  </si>
  <si>
    <t xml:space="preserve">Config por camara de clases permitidas; prompts LLaVA adaptados.</t>
  </si>
  <si>
    <t xml:space="preserve">P2</t>
  </si>
  <si>
    <t xml:space="preserve">Pendiente</t>
  </si>
  <si>
    <t xml:space="preserve">v0.3</t>
  </si>
  <si>
    <t xml:space="preserve">YOLO ya los detecta; solo falta filtro + prompt.</t>
  </si>
  <si>
    <t xml:space="preserve">ING-08</t>
  </si>
  <si>
    <t xml:space="preserve">Zonas de interes (poligonal masking)</t>
  </si>
  <si>
    <t xml:space="preserve">Como usuario, quiero ignorar partes del frame (calle publica) y alertar solo en zonas privadas.</t>
  </si>
  <si>
    <t xml:space="preserve">UI para dibujar poligono sobre preview; detecciones fuera = descartadas.</t>
  </si>
  <si>
    <t xml:space="preserve">P1</t>
  </si>
  <si>
    <t xml:space="preserve">v0.2</t>
  </si>
  <si>
    <t xml:space="preserve">Necesita frontend editor de poligonos.</t>
  </si>
  <si>
    <t xml:space="preserve">ING-09</t>
  </si>
  <si>
    <t xml:space="preserve">Deteccion de eventos especiales</t>
  </si>
  <si>
    <t xml:space="preserve">Como usuario, quiero detectar caidas, aglomeraciones o actitudes agresivas.</t>
  </si>
  <si>
    <t xml:space="preserve">Modelos especificos (pose estimation); clasificador por evento; integracion con alertas.</t>
  </si>
  <si>
    <t xml:space="preserve">P3</t>
  </si>
  <si>
    <t xml:space="preserve">XL</t>
  </si>
  <si>
    <t xml:space="preserve">v1.0</t>
  </si>
  <si>
    <t xml:space="preserve">Requiere investigacion de modelos.</t>
  </si>
  <si>
    <t xml:space="preserve">ING-10</t>
  </si>
  <si>
    <t xml:space="preserve">Auto-discovery ONVIF</t>
  </si>
  <si>
    <t xml:space="preserve">Como admin, quiero que el sistema encuentre camaras nuevas en la red sin configurarlas a mano.</t>
  </si>
  <si>
    <t xml:space="preserve">Scan de red; descubre dispositivos ONVIF; muestra UI para importarlas.</t>
  </si>
  <si>
    <t xml:space="preserve">v0.4</t>
  </si>
  <si>
    <t xml:space="preserve">IA-01</t>
  </si>
  <si>
    <t xml:space="preserve">Analisis IA</t>
  </si>
  <si>
    <t xml:space="preserve">Integracion con Ollama local</t>
  </si>
  <si>
    <t xml:space="preserve">Como sistema, quiero correr LLaVA localmente sin depender de APIs externas.</t>
  </si>
  <si>
    <t xml:space="preserve">Ollama API HTTP; timeout; manejo de errores; fallback si no responde.</t>
  </si>
  <si>
    <t xml:space="preserve">analizador.py y analizador2.py.</t>
  </si>
  <si>
    <t xml:space="preserve">IA-02</t>
  </si>
  <si>
    <t xml:space="preserve">Dos analizadores (rapido vs preciso)</t>
  </si>
  <si>
    <t xml:space="preserve">Como usuario, quiero elegir entre analisis rapido (llava:7b) o preciso (llava:13b/34b).</t>
  </si>
  <si>
    <t xml:space="preserve">Flag en .env CAMARAS_ANALIZADOR; misma API publica entre v1 y v2.</t>
  </si>
  <si>
    <t xml:space="preserve">IA-03</t>
  </si>
  <si>
    <t xml:space="preserve">Cola FIFO para serializar llamadas LLaVA</t>
  </si>
  <si>
    <t xml:space="preserve">Como sistema, no quiero saturar la GPU con analisis concurrentes; deben procesarse de a uno.</t>
  </si>
  <si>
    <t xml:space="preserve">queue.Queue(maxsize=5); descarta si llena; log de cola saturada.</t>
  </si>
  <si>
    <t xml:space="preserve">En clase AnalizadorAsync del detector.</t>
  </si>
  <si>
    <t xml:space="preserve">IA-04</t>
  </si>
  <si>
    <t xml:space="preserve">Prompts contextuales por zona</t>
  </si>
  <si>
    <t xml:space="preserve">Como usuario, quiero que LLaVA sepa si la camara es ingreso, patio o almacen para analizar mejor.</t>
  </si>
  <si>
    <t xml:space="preserve">Campo contexto_zona por camara; se incluye en el prompt del LLM.</t>
  </si>
  <si>
    <t xml:space="preserve">IA-05</t>
  </si>
  <si>
    <t xml:space="preserve">Soporte Llama 3.2 Vision / GPT-4V</t>
  </si>
  <si>
    <t xml:space="preserve">Como usuario, quiero poder elegir modelos nuevos cuando salen, sin reescribir el codigo.</t>
  </si>
  <si>
    <t xml:space="preserve">Adapter pattern; config de modelo en DB; A/B testing entre modelos.</t>
  </si>
  <si>
    <t xml:space="preserve">IA-06</t>
  </si>
  <si>
    <t xml:space="preserve">Cache semantico de analisis similares</t>
  </si>
  <si>
    <t xml:space="preserve">Como sistema, quiero evitar re-analizar escenas visualmente similares a las recientes.</t>
  </si>
  <si>
    <t xml:space="preserve">Embedding del frame; similitud coseno &gt; 0.95 =&gt; devuelve analisis cacheado.</t>
  </si>
  <si>
    <t xml:space="preserve">Complejo; requiere modelo de embeddings.</t>
  </si>
  <si>
    <t xml:space="preserve">IA-07</t>
  </si>
  <si>
    <t xml:space="preserve">Fine-tuning con dataset propio</t>
  </si>
  <si>
    <t xml:space="preserve">Como producto, quiero un modelo ajustado a nuestras camaras para reducir falsos positivos.</t>
  </si>
  <si>
    <t xml:space="preserve">Dataset etiquetado; pipeline de entrenamiento; A/B contra modelo base.</t>
  </si>
  <si>
    <t xml:space="preserve">v1.5</t>
  </si>
  <si>
    <t xml:space="preserve">STG-01</t>
  </si>
  <si>
    <t xml:space="preserve">Storage</t>
  </si>
  <si>
    <t xml:space="preserve">Upload de snapshots a MinIO</t>
  </si>
  <si>
    <t xml:space="preserve">Como sistema, quiero persistir imagenes de alertas en storage S3-compatible.</t>
  </si>
  <si>
    <t xml:space="preserve">boto3; organizacion por YYYY/MM/DD/camara/uuid.jpg; metadata.</t>
  </si>
  <si>
    <t xml:space="preserve">storage.py.</t>
  </si>
  <si>
    <t xml:space="preserve">STG-02</t>
  </si>
  <si>
    <t xml:space="preserve">URLs presignadas para frontend</t>
  </si>
  <si>
    <t xml:space="preserve">Como frontend, quiero mostrar imagenes sin necesitar credenciales de MinIO.</t>
  </si>
  <si>
    <t xml:space="preserve">GET /alertas/{id}/snapshot con redirect 302 a URL temporal.</t>
  </si>
  <si>
    <t xml:space="preserve">STG-03</t>
  </si>
  <si>
    <t xml:space="preserve">Degradacion graciosa si MinIO cae</t>
  </si>
  <si>
    <t xml:space="preserve">Como sistema, quiero seguir disparando alertas aunque el storage este caido.</t>
  </si>
  <si>
    <t xml:space="preserve">Errores de upload no tiran el detector; se loguea y se continua.</t>
  </si>
  <si>
    <t xml:space="preserve">STG-04</t>
  </si>
  <si>
    <t xml:space="preserve">Politica de retencion (lifecycle)</t>
  </si>
  <si>
    <t xml:space="preserve">Como admin, quiero que snapshots de mas de 30 dias se borren automaticamente.</t>
  </si>
  <si>
    <t xml:space="preserve">Lifecycle rule en MinIO; configurable por .env.</t>
  </si>
  <si>
    <t xml:space="preserve">Sin esto el disco se llena solo.</t>
  </si>
  <si>
    <t xml:space="preserve">STG-05</t>
  </si>
  <si>
    <t xml:space="preserve">Backup a cold storage</t>
  </si>
  <si>
    <t xml:space="preserve">Como admin, quiero mover snapshots viejos (&gt;90 dias) a storage barato o externo.</t>
  </si>
  <si>
    <t xml:space="preserve">S3 Glacier o similar; transparente para la API.</t>
  </si>
  <si>
    <t xml:space="preserve">STG-06</t>
  </si>
  <si>
    <t xml:space="preserve">Compresion inteligente</t>
  </si>
  <si>
    <t xml:space="preserve">Como sistema, quiero reducir el tamano de snapshots sin perder calidad.</t>
  </si>
  <si>
    <t xml:space="preserve">JPG quality configurable; WebP como alternativa; comparativa de tamano.</t>
  </si>
  <si>
    <t xml:space="preserve">STG-07</t>
  </si>
  <si>
    <t xml:space="preserve">Sincronizacion hibrida con AWS S3</t>
  </si>
  <si>
    <t xml:space="preserve">Como producto, quiero que el dia de mudarme a la nube sea solo cambiar una URL.</t>
  </si>
  <si>
    <t xml:space="preserve">Codigo ya usa boto3; solo cambiar endpoint + credenciales.</t>
  </si>
  <si>
    <t xml:space="preserve">v0.5</t>
  </si>
  <si>
    <t xml:space="preserve">Ya compatible, falta documentar.</t>
  </si>
  <si>
    <t xml:space="preserve">RT-01</t>
  </si>
  <si>
    <t xml:space="preserve">Cache y Realtime</t>
  </si>
  <si>
    <t xml:space="preserve">Cliente Redis con degradacion graciosa</t>
  </si>
  <si>
    <t xml:space="preserve">Como sistema, quiero que si Redis cae, la API y el detector sigan andando.</t>
  </si>
  <si>
    <t xml:space="preserve">Wrapper singleton; decorador @_safe; heartbeat offline/online.</t>
  </si>
  <si>
    <t xml:space="preserve">v0.2 Redis</t>
  </si>
  <si>
    <t xml:space="preserve">redis_cache.py.</t>
  </si>
  <si>
    <t xml:space="preserve">RT-02</t>
  </si>
  <si>
    <t xml:space="preserve">Cooldown inteligente TTL variable</t>
  </si>
  <si>
    <t xml:space="preserve">Como sistema, no quiero disparar LLaVA en escenas repetidas; el cooldown debe ser corto si la escena es peligrosa.</t>
  </si>
  <si>
    <t xml:space="preserve">TTL: alto=15s, medio=30s, bajo=60s; bypass si cantidad de personas cambia.</t>
  </si>
  <si>
    <t xml:space="preserve">'Opcion C' - 3 condiciones de skip.</t>
  </si>
  <si>
    <t xml:space="preserve">RT-03</t>
  </si>
  <si>
    <t xml:space="preserve">Estado en vivo por camara</t>
  </si>
  <si>
    <t xml:space="preserve">Como API, quiero poder decirle al frontend que esta pasando AHORA en cada camara sin tocar Postgres.</t>
  </si>
  <si>
    <t xml:space="preserve">set_estado_camara + get/listar con TTL 5 min.</t>
  </si>
  <si>
    <t xml:space="preserve">RT-04</t>
  </si>
  <si>
    <t xml:space="preserve">Pub/Sub canal 'alertas'</t>
  </si>
  <si>
    <t xml:space="preserve">Como detector, quiero publicar alertas a un canal para que suscriptores las reciban en realtime.</t>
  </si>
  <si>
    <t xml:space="preserve">publish_alerta con payload JSON; multi-subscriber.</t>
  </si>
  <si>
    <t xml:space="preserve">RT-05</t>
  </si>
  <si>
    <t xml:space="preserve">Endpoint SSE GET /alertas/stream</t>
  </si>
  <si>
    <t xml:space="preserve">Como frontend, quiero recibir push de alertas sin hacer polling.</t>
  </si>
  <si>
    <t xml:space="preserve">text/event-stream; auto-reconnect; heartbeat cada 15s.</t>
  </si>
  <si>
    <t xml:space="preserve">Probado con curl -N y demo HTML.</t>
  </si>
  <si>
    <t xml:space="preserve">RT-06</t>
  </si>
  <si>
    <t xml:space="preserve">WebSocket bidireccional para comandos</t>
  </si>
  <si>
    <t xml:space="preserve">Como frontend, quiero mandar comandos al detector (ack, pausar, forzar analisis).</t>
  </si>
  <si>
    <t xml:space="preserve">WS /alertas/ws; protocolo de mensajes; auth via token en query.</t>
  </si>
  <si>
    <t xml:space="preserve">SSE ya cubre push; esto es para comandos.</t>
  </si>
  <si>
    <t xml:space="preserve">RT-07</t>
  </si>
  <si>
    <t xml:space="preserve">Canales por sitio (multi-tenant)</t>
  </si>
  <si>
    <t xml:space="preserve">Como producto, quiero que cada cliente reciba solo las alertas de SUS camaras.</t>
  </si>
  <si>
    <t xml:space="preserve">Canal 'alertas:{sitio_id}'; el detector publica a canal especifico.</t>
  </si>
  <si>
    <t xml:space="preserve">RT-08</t>
  </si>
  <si>
    <t xml:space="preserve">Replay de ultimas N alertas al conectar</t>
  </si>
  <si>
    <t xml:space="preserve">Como frontend, quiero ver las ultimas alertas recientes al abrir el dashboard, no solo las nuevas.</t>
  </si>
  <si>
    <t xml:space="preserve">Sorted set en Redis con ultimas 50; se envian al conectar SSE.</t>
  </si>
  <si>
    <t xml:space="preserve">NOT-01</t>
  </si>
  <si>
    <t xml:space="preserve">Notificaciones</t>
  </si>
  <si>
    <t xml:space="preserve">Worker Telegram desacoplado</t>
  </si>
  <si>
    <t xml:space="preserve">Como sistema, quiero enviar alertas por Telegram sin bloquear al detector.</t>
  </si>
  <si>
    <t xml:space="preserve">Proceso separado; lee cola de notificaciones; retry con backoff.</t>
  </si>
  <si>
    <t xml:space="preserve">telegram_worker.py.</t>
  </si>
  <si>
    <t xml:space="preserve">NOT-02</t>
  </si>
  <si>
    <t xml:space="preserve">Cola persistente en Postgres</t>
  </si>
  <si>
    <t xml:space="preserve">Como sistema, no quiero perder notificaciones si Telegram o el worker estan caidos.</t>
  </si>
  <si>
    <t xml:space="preserve">Tabla notificaciones con estado; worker polea cada N segundos.</t>
  </si>
  <si>
    <t xml:space="preserve">NOT-03</t>
  </si>
  <si>
    <t xml:space="preserve">Retry con backoff ante fallos</t>
  </si>
  <si>
    <t xml:space="preserve">Como sistema, quiero reintentar envios fallidos (red, rate limit, etc).</t>
  </si>
  <si>
    <t xml:space="preserve">Max 3 intentos; backoff exponencial; marca como 'fallida' tras N fallos.</t>
  </si>
  <si>
    <t xml:space="preserve">NOT-04</t>
  </si>
  <si>
    <t xml:space="preserve">Adjuntar snapshot al mensaje</t>
  </si>
  <si>
    <t xml:space="preserve">Como usuario, quiero ver la foto directamente en Telegram, no solo el texto.</t>
  </si>
  <si>
    <t xml:space="preserve">sendPhoto con snapshot descargado de MinIO; caption con info.</t>
  </si>
  <si>
    <t xml:space="preserve">Telegram permite hasta 10MB por foto.</t>
  </si>
  <si>
    <t xml:space="preserve">NOT-05</t>
  </si>
  <si>
    <t xml:space="preserve">Botones inline (Reconocer/Descartar)</t>
  </si>
  <si>
    <t xml:space="preserve">Como usuario, quiero accionar la alerta desde Telegram sin abrir el dashboard.</t>
  </si>
  <si>
    <t xml:space="preserve">InlineKeyboardButton; callback al bot; update de alerta en DB.</t>
  </si>
  <si>
    <t xml:space="preserve">Requiere webhook o long polling.</t>
  </si>
  <si>
    <t xml:space="preserve">NOT-06</t>
  </si>
  <si>
    <t xml:space="preserve">Bot conversacional</t>
  </si>
  <si>
    <t xml:space="preserve">Como usuario, quiero preguntarle al bot '/ultimas 5' y recibir resumen.</t>
  </si>
  <si>
    <t xml:space="preserve">Handler de comandos; queries a la DB; respuestas formateadas.</t>
  </si>
  <si>
    <t xml:space="preserve">NOT-07</t>
  </si>
  <si>
    <t xml:space="preserve">Canal Email (SMTP)</t>
  </si>
  <si>
    <t xml:space="preserve">Como admin, quiero recibir reportes diarios por email.</t>
  </si>
  <si>
    <t xml:space="preserve">Similar al worker de Telegram; templates HTML; configuracion SMTP.</t>
  </si>
  <si>
    <t xml:space="preserve">NOT-08</t>
  </si>
  <si>
    <t xml:space="preserve">Push notifications mobile</t>
  </si>
  <si>
    <t xml:space="preserve">Como usuario mobile, quiero recibir notifs push en mi telefono.</t>
  </si>
  <si>
    <t xml:space="preserve">Firebase Cloud Messaging o similar; token por usuario.</t>
  </si>
  <si>
    <t xml:space="preserve">Requiere app movil.</t>
  </si>
  <si>
    <t xml:space="preserve">NOT-09</t>
  </si>
  <si>
    <t xml:space="preserve">Webhooks salientes</t>
  </si>
  <si>
    <t xml:space="preserve">Como cliente, quiero integrar con Zapier / n8n / mi propio sistema.</t>
  </si>
  <si>
    <t xml:space="preserve">Config de URL de webhook; POST con payload JSON; retry.</t>
  </si>
  <si>
    <t xml:space="preserve">API-01</t>
  </si>
  <si>
    <t xml:space="preserve">API REST</t>
  </si>
  <si>
    <t xml:space="preserve">Endpoints GET de lectura</t>
  </si>
  <si>
    <t xml:space="preserve">Como frontend, quiero listar y ver detalles de camaras, alertas, eventos, analisis.</t>
  </si>
  <si>
    <t xml:space="preserve">GET /camaras, /alertas, /eventos, /analisis; con filtros y paginacion.</t>
  </si>
  <si>
    <t xml:space="preserve">api.py con FastAPI.</t>
  </si>
  <si>
    <t xml:space="preserve">API-02</t>
  </si>
  <si>
    <t xml:space="preserve">Health checks y observabilidad</t>
  </si>
  <si>
    <t xml:space="preserve">Como sistema de monitoring, quiero ping rapido y estado detallado.</t>
  </si>
  <si>
    <t xml:space="preserve">GET /health; /health/ia; /health/historico; lee v_salud_sistema.</t>
  </si>
  <si>
    <t xml:space="preserve">API-03</t>
  </si>
  <si>
    <t xml:space="preserve">Snapshots con presigned URLs</t>
  </si>
  <si>
    <t xml:space="preserve">Como frontend, quiero pedir el snapshot por alerta_id o evento_id.</t>
  </si>
  <si>
    <t xml:space="preserve">Redirect a URL presignada de MinIO; opcion 'bytes' inline.</t>
  </si>
  <si>
    <t xml:space="preserve">API-04</t>
  </si>
  <si>
    <t xml:space="preserve">Estado en vivo y cooldown (Redis)</t>
  </si>
  <si>
    <t xml:space="preserve">Como frontend, quiero respuestas en &lt;10ms para el dashboard realtime.</t>
  </si>
  <si>
    <t xml:space="preserve">GET /estados; /camaras/{n}/estado; /camaras/{n}/cooldown.</t>
  </si>
  <si>
    <t xml:space="preserve">API-05</t>
  </si>
  <si>
    <t xml:space="preserve">Endpoints de escritura POST/PATCH/DELETE</t>
  </si>
  <si>
    <t xml:space="preserve">Como usuario, quiero crear/editar camaras y reconocer alertas desde la UI.</t>
  </si>
  <si>
    <t xml:space="preserve">PATCH /alertas/{id}; POST /camaras; DELETE /usuarios/{id}; etc.</t>
  </si>
  <si>
    <t xml:space="preserve">v0.3 Auth</t>
  </si>
  <si>
    <t xml:space="preserve">Bloqueante para dashboard funcional.</t>
  </si>
  <si>
    <t xml:space="preserve">API-06</t>
  </si>
  <si>
    <t xml:space="preserve">Paginacion cursor-based</t>
  </si>
  <si>
    <t xml:space="preserve">Como frontend, quiero paginacion eficiente en tablas grandes.</t>
  </si>
  <si>
    <t xml:space="preserve">Reemplazar offset/limit por cursor basado en id+timestamp.</t>
  </si>
  <si>
    <t xml:space="preserve">Offset tiene issues con data cambiando.</t>
  </si>
  <si>
    <t xml:space="preserve">API-07</t>
  </si>
  <si>
    <t xml:space="preserve">Full-text search de alertas</t>
  </si>
  <si>
    <t xml:space="preserve">Como usuario, quiero buscar 'moto roja' en descripciones de LLaVA.</t>
  </si>
  <si>
    <t xml:space="preserve">tsvector + GIN index en descripcion; endpoint /alertas/search?q=.</t>
  </si>
  <si>
    <t xml:space="preserve">API-08</t>
  </si>
  <si>
    <t xml:space="preserve">Versionado /v1, /v2</t>
  </si>
  <si>
    <t xml:space="preserve">Como producto, quiero poder evolucionar la API sin romper clientes viejos.</t>
  </si>
  <si>
    <t xml:space="preserve">Routers bajo /v1 y /v2; documentacion separada.</t>
  </si>
  <si>
    <t xml:space="preserve">API-09</t>
  </si>
  <si>
    <t xml:space="preserve">Rate limiting por IP/usuario</t>
  </si>
  <si>
    <t xml:space="preserve">Como sistema, no quiero que un cliente malicioso tire la API.</t>
  </si>
  <si>
    <t xml:space="preserve">slowapi o similar; limites por endpoint; headers X-RateLimit-*.</t>
  </si>
  <si>
    <t xml:space="preserve">API-10</t>
  </si>
  <si>
    <t xml:space="preserve">Validacion con Pydantic</t>
  </si>
  <si>
    <t xml:space="preserve">Como backend, quiero rechazar payloads invalidos con 422 y mensaje claro.</t>
  </si>
  <si>
    <t xml:space="preserve">Modelos Pydantic para todos los bodies; response_model tambien.</t>
  </si>
  <si>
    <t xml:space="preserve">FE-01</t>
  </si>
  <si>
    <t xml:space="preserve">Frontend</t>
  </si>
  <si>
    <t xml:space="preserve">Scaffold y configuracion</t>
  </si>
  <si>
    <t xml:space="preserve">Como dev, quiero un proyecto frontend con build, linter, rutas.</t>
  </si>
  <si>
    <t xml:space="preserve">Framework elegido; dev server; build a produccion.</t>
  </si>
  <si>
    <t xml:space="preserve">En Progreso</t>
  </si>
  <si>
    <t xml:space="preserve">Nacho lo esta haciendo aparte.</t>
  </si>
  <si>
    <t xml:space="preserve">FE-02</t>
  </si>
  <si>
    <t xml:space="preserve">Pantalla de login</t>
  </si>
  <si>
    <t xml:space="preserve">Como usuario, quiero autenticarme con email + password.</t>
  </si>
  <si>
    <t xml:space="preserve">Form; validacion; llamada a POST /auth/login; storage de token.</t>
  </si>
  <si>
    <t xml:space="preserve">FE-03</t>
  </si>
  <si>
    <t xml:space="preserve">Vista de camaras en vivo</t>
  </si>
  <si>
    <t xml:space="preserve">Como operador, quiero ver el estado actual de todas las camaras en un grid.</t>
  </si>
  <si>
    <t xml:space="preserve">Cards por camara; estado_salud; ultima alerta; color por nivel.</t>
  </si>
  <si>
    <t xml:space="preserve">Consume GET /estados.</t>
  </si>
  <si>
    <t xml:space="preserve">FE-04</t>
  </si>
  <si>
    <t xml:space="preserve">Lista de alertas con filtros</t>
  </si>
  <si>
    <t xml:space="preserve">Como usuario, quiero ver historial de alertas filtrando por camara, fecha, severidad.</t>
  </si>
  <si>
    <t xml:space="preserve">Tabla con paginacion; filtros urlparams; snapshot thumbnail.</t>
  </si>
  <si>
    <t xml:space="preserve">FE-05</t>
  </si>
  <si>
    <t xml:space="preserve">Detalle de alerta</t>
  </si>
  <si>
    <t xml:space="preserve">Como usuario, quiero ver snapshot grande, analisis LLaVA completo y accionar.</t>
  </si>
  <si>
    <t xml:space="preserve">Modal o pagina; snapshot anotado; boton Reconocer/Descartar/Resolver.</t>
  </si>
  <si>
    <t xml:space="preserve">FE-06</t>
  </si>
  <si>
    <t xml:space="preserve">Integracion con SSE realtime</t>
  </si>
  <si>
    <t xml:space="preserve">Como usuario, quiero que aparezcan alertas nuevas sin refrescar la pagina.</t>
  </si>
  <si>
    <t xml:space="preserve">EventSource hacia /alertas/stream; toast notification; badge en tab.</t>
  </si>
  <si>
    <t xml:space="preserve">FE-07</t>
  </si>
  <si>
    <t xml:space="preserve">Panel de administracion</t>
  </si>
  <si>
    <t xml:space="preserve">Como admin, quiero gestionar camaras, usuarios y configuracion.</t>
  </si>
  <si>
    <t xml:space="preserve">Secciones CRUD; guards por rol; forms con validacion.</t>
  </si>
  <si>
    <t xml:space="preserve">FE-08</t>
  </si>
  <si>
    <t xml:space="preserve">Responsive mobile</t>
  </si>
  <si>
    <t xml:space="preserve">Como usuario mobile, quiero usar el dashboard desde el telefono.</t>
  </si>
  <si>
    <t xml:space="preserve">Breakpoints; menu hamburguesa; touch gestures.</t>
  </si>
  <si>
    <t xml:space="preserve">FE-09</t>
  </si>
  <si>
    <t xml:space="preserve">Modo dark / light</t>
  </si>
  <si>
    <t xml:space="preserve">Como usuario, quiero elegir tema segun mi preferencia.</t>
  </si>
  <si>
    <t xml:space="preserve">CSS variables; toggle; persistencia en localStorage.</t>
  </si>
  <si>
    <t xml:space="preserve">FE-10</t>
  </si>
  <si>
    <t xml:space="preserve">Grafico de timeline de alertas</t>
  </si>
  <si>
    <t xml:space="preserve">Como usuario, quiero ver picos de actividad en grafico.</t>
  </si>
  <si>
    <t xml:space="preserve">Chart.js o similar; alertas por hora del dia/semana.</t>
  </si>
  <si>
    <t xml:space="preserve">AUTH-01</t>
  </si>
  <si>
    <t xml:space="preserve">Autenticacion</t>
  </si>
  <si>
    <t xml:space="preserve">POST /auth/login con JWT</t>
  </si>
  <si>
    <t xml:space="preserve">Como usuario, quiero autenticarme con credenciales y recibir un token.</t>
  </si>
  <si>
    <t xml:space="preserve">Valida password_hash (bcrypt); devuelve access_token + refresh_token.</t>
  </si>
  <si>
    <t xml:space="preserve">Bloquea todo lo escrito.</t>
  </si>
  <si>
    <t xml:space="preserve">AUTH-02</t>
  </si>
  <si>
    <t xml:space="preserve">Middleware JWT en endpoints protegidos</t>
  </si>
  <si>
    <t xml:space="preserve">Como backend, quiero rechazar requests sin token valido con 401.</t>
  </si>
  <si>
    <t xml:space="preserve">Dependency de FastAPI; decodifica JWT; busca usuario en DB.</t>
  </si>
  <si>
    <t xml:space="preserve">AUTH-03</t>
  </si>
  <si>
    <t xml:space="preserve">GET /auth/me</t>
  </si>
  <si>
    <t xml:space="preserve">Como frontend, quiero saber quien esta logueado y sus roles.</t>
  </si>
  <si>
    <t xml:space="preserve">Devuelve user + roles; usa middleware; 401 si no autenticado.</t>
  </si>
  <si>
    <t xml:space="preserve">AUTH-04</t>
  </si>
  <si>
    <t xml:space="preserve">RBAC (Role-Based Access Control)</t>
  </si>
  <si>
    <t xml:space="preserve">Como admin, quiero que ciertos endpoints solo sean accesibles a roles especificos.</t>
  </si>
  <si>
    <t xml:space="preserve">Decorator @require_role('admin'); check de usuario_roles.</t>
  </si>
  <si>
    <t xml:space="preserve">Tablas roles, usuario_roles ya existen.</t>
  </si>
  <si>
    <t xml:space="preserve">AUTH-05</t>
  </si>
  <si>
    <t xml:space="preserve">Refresh tokens</t>
  </si>
  <si>
    <t xml:space="preserve">Como usuario, no quiero re-loguearme cada 15 minutos.</t>
  </si>
  <si>
    <t xml:space="preserve">Token de refresco de larga duracion; endpoint POST /auth/refresh.</t>
  </si>
  <si>
    <t xml:space="preserve">AUTH-06</t>
  </si>
  <si>
    <t xml:space="preserve">Password reset por email</t>
  </si>
  <si>
    <t xml:space="preserve">Como usuario, quiero recuperar mi password si lo olvide.</t>
  </si>
  <si>
    <t xml:space="preserve">Token temporal por email; endpoint POST /auth/reset-password.</t>
  </si>
  <si>
    <t xml:space="preserve">AUTH-07</t>
  </si>
  <si>
    <t xml:space="preserve">2FA opcional</t>
  </si>
  <si>
    <t xml:space="preserve">Como usuario, quiero agregar factor extra de seguridad (TOTP).</t>
  </si>
  <si>
    <t xml:space="preserve">Integracion con authenticator apps; QR code; verificacion.</t>
  </si>
  <si>
    <t xml:space="preserve">AUTH-08</t>
  </si>
  <si>
    <t xml:space="preserve">Audit log (quien hizo que)</t>
  </si>
  <si>
    <t xml:space="preserve">Como admin, quiero saber quien creo/borro/modifico cada recurso.</t>
  </si>
  <si>
    <t xml:space="preserve">Tabla audit_log; middleware que guarda accion + user_id.</t>
  </si>
  <si>
    <t xml:space="preserve">AUTH-09</t>
  </si>
  <si>
    <t xml:space="preserve">Rate limiting en login</t>
  </si>
  <si>
    <t xml:space="preserve">Como sistema, quiero bloquear brute-force de passwords.</t>
  </si>
  <si>
    <t xml:space="preserve">Max 5 intentos por IP en 15 min; lock de cuenta tras N fallos.</t>
  </si>
  <si>
    <t xml:space="preserve">CAM-01</t>
  </si>
  <si>
    <t xml:space="preserve">Admin Camaras</t>
  </si>
  <si>
    <t xml:space="preserve">CRUD completo de camaras</t>
  </si>
  <si>
    <t xml:space="preserve">Como admin, quiero crear, editar, activar y borrar camaras desde la UI.</t>
  </si>
  <si>
    <t xml:space="preserve">POST/PATCH/DELETE /camaras; validacion de RTSP/MAC.</t>
  </si>
  <si>
    <t xml:space="preserve">CAM-02</t>
  </si>
  <si>
    <t xml:space="preserve">Wizard de nueva camara</t>
  </si>
  <si>
    <t xml:space="preserve">Como admin, quiero un flujo guiado para agregar una camara (IP, credenciales, zona).</t>
  </si>
  <si>
    <t xml:space="preserve">Multi-step form; validacion en cada paso; test de conexion.</t>
  </si>
  <si>
    <t xml:space="preserve">CAM-03</t>
  </si>
  <si>
    <t xml:space="preserve">Test de conexion pre-guardado</t>
  </si>
  <si>
    <t xml:space="preserve">Como admin, quiero probar que la camara responde antes de guardarla.</t>
  </si>
  <si>
    <t xml:space="preserve">Endpoint POST /camaras/test; intenta conectar; devuelve preview frame.</t>
  </si>
  <si>
    <t xml:space="preserve">CAM-04</t>
  </si>
  <si>
    <t xml:space="preserve">Asignacion a sitios</t>
  </si>
  <si>
    <t xml:space="preserve">Como admin, quiero agrupar camaras por sitio/local.</t>
  </si>
  <si>
    <t xml:space="preserve">camaras.sitio_id FK; UI de asignacion.</t>
  </si>
  <si>
    <t xml:space="preserve">FK ya existe en schema.</t>
  </si>
  <si>
    <t xml:space="preserve">CAM-05</t>
  </si>
  <si>
    <t xml:space="preserve">Edicion de zonas de interes</t>
  </si>
  <si>
    <t xml:space="preserve">Como admin, quiero dibujar poligono sobre la imagen de la camara.</t>
  </si>
  <si>
    <t xml:space="preserve">Canvas con preview; exporta JSON; guarda en DB.</t>
  </si>
  <si>
    <t xml:space="preserve">Depende de ING-08.</t>
  </si>
  <si>
    <t xml:space="preserve">CAM-06</t>
  </si>
  <si>
    <t xml:space="preserve">Horarios de habilitacion</t>
  </si>
  <si>
    <t xml:space="preserve">Como admin, quiero que ciertas camaras solo analicen en horario especifico.</t>
  </si>
  <si>
    <t xml:space="preserve">Config de ventana horaria por camara; detector lo respeta.</t>
  </si>
  <si>
    <t xml:space="preserve">ADM-01</t>
  </si>
  <si>
    <t xml:space="preserve">Admin General</t>
  </si>
  <si>
    <t xml:space="preserve">CRUD de usuarios</t>
  </si>
  <si>
    <t xml:space="preserve">Como admin, quiero gestionar usuarios del sistema.</t>
  </si>
  <si>
    <t xml:space="preserve">POST/PATCH/DELETE /usuarios; asignar roles; activar/desactivar.</t>
  </si>
  <si>
    <t xml:space="preserve">ADM-02</t>
  </si>
  <si>
    <t xml:space="preserve">CRUD de sitios</t>
  </si>
  <si>
    <t xml:space="preserve">Como admin, quiero agregar sitios nuevos (nuevas sucursales).</t>
  </si>
  <si>
    <t xml:space="preserve">POST/PATCH/DELETE /sitios; lat/long; zona horaria.</t>
  </si>
  <si>
    <t xml:space="preserve">ADM-03</t>
  </si>
  <si>
    <t xml:space="preserve">CRUD de roles</t>
  </si>
  <si>
    <t xml:space="preserve">Como admin, quiero crear roles custom con permisos granulares.</t>
  </si>
  <si>
    <t xml:space="preserve">POST/PATCH/DELETE /roles; tabla permisos; check dinamico.</t>
  </si>
  <si>
    <t xml:space="preserve">ADM-04</t>
  </si>
  <si>
    <t xml:space="preserve">Edicion de configuracion_sistema desde UI</t>
  </si>
  <si>
    <t xml:space="preserve">Como admin, quiero cambiar parametros sin tocar la DB directo.</t>
  </si>
  <si>
    <t xml:space="preserve">GET/PATCH /config; mascara de secretos; validacion de tipos.</t>
  </si>
  <si>
    <t xml:space="preserve">ADM-05</t>
  </si>
  <si>
    <t xml:space="preserve">Invitaciones por email</t>
  </si>
  <si>
    <t xml:space="preserve">Como admin, quiero invitar usuarios nuevos sin setear passwords a mano.</t>
  </si>
  <si>
    <t xml:space="preserve">Email con link+token; user completa signup; expira en 24h.</t>
  </si>
  <si>
    <t xml:space="preserve">ANA-01</t>
  </si>
  <si>
    <t xml:space="preserve">Analitica</t>
  </si>
  <si>
    <t xml:space="preserve">Alertas por dia/hora/zona</t>
  </si>
  <si>
    <t xml:space="preserve">Como supervisor, quiero ver tendencias temporales y por zona.</t>
  </si>
  <si>
    <t xml:space="preserve">Endpoint GET /stats/alertas; agrupacion por dimension; grafico.</t>
  </si>
  <si>
    <t xml:space="preserve">ANA-02</t>
  </si>
  <si>
    <t xml:space="preserve">Top camaras con mas eventos</t>
  </si>
  <si>
    <t xml:space="preserve">Como supervisor, quiero saber que camaras generan mas alertas.</t>
  </si>
  <si>
    <t xml:space="preserve">GET /stats/top-camaras; window configurable.</t>
  </si>
  <si>
    <t xml:space="preserve">ANA-03</t>
  </si>
  <si>
    <t xml:space="preserve">Heatmap de actividad</t>
  </si>
  <si>
    <t xml:space="preserve">Como supervisor, quiero visualizar donde hay mas movimiento en un layout.</t>
  </si>
  <si>
    <t xml:space="preserve">Plano del sitio con overlay de calor por camara.</t>
  </si>
  <si>
    <t xml:space="preserve">ANA-04</t>
  </si>
  <si>
    <t xml:space="preserve">Exportacion CSV/Excel</t>
  </si>
  <si>
    <t xml:space="preserve">Como admin, quiero exportar reportes para compartir fuera del sistema.</t>
  </si>
  <si>
    <t xml:space="preserve">GET /stats/export?format=csv|xlsx; con filtros aplicados.</t>
  </si>
  <si>
    <t xml:space="preserve">ANA-05</t>
  </si>
  <si>
    <t xml:space="preserve">Reportes programados por email</t>
  </si>
  <si>
    <t xml:space="preserve">Como supervisor, quiero recibir resumen semanal automaticamente.</t>
  </si>
  <si>
    <t xml:space="preserve">Scheduler; template email; config de destinatarios.</t>
  </si>
  <si>
    <t xml:space="preserve">OBS-01</t>
  </si>
  <si>
    <t xml:space="preserve">Observabilidad</t>
  </si>
  <si>
    <t xml:space="preserve">Heartbeat de servicios</t>
  </si>
  <si>
    <t xml:space="preserve">Como admin, quiero saber si cada servicio (detector, api, redis) esta vivo.</t>
  </si>
  <si>
    <t xml:space="preserve">Tabla salud_servicios; reportar() con estado/latencia/metrica.</t>
  </si>
  <si>
    <t xml:space="preserve">salud.py.</t>
  </si>
  <si>
    <t xml:space="preserve">OBS-02</t>
  </si>
  <si>
    <t xml:space="preserve">Vista v_salud_sistema</t>
  </si>
  <si>
    <t xml:space="preserve">Como API, quiero unir salud de camaras + servicios en una sola vista.</t>
  </si>
  <si>
    <t xml:space="preserve">View SQL con union; se consulta desde /health.</t>
  </si>
  <si>
    <t xml:space="preserve">OBS-03</t>
  </si>
  <si>
    <t xml:space="preserve">Metricas Prometheus</t>
  </si>
  <si>
    <t xml:space="preserve">Como SRE, quiero scrape de metricas para Grafana.</t>
  </si>
  <si>
    <t xml:space="preserve">/metrics endpoint; counter de alertas, gauge de latencia LLaVA, etc.</t>
  </si>
  <si>
    <t xml:space="preserve">OBS-04</t>
  </si>
  <si>
    <t xml:space="preserve">Dashboards Grafana</t>
  </si>
  <si>
    <t xml:space="preserve">Como SRE, quiero visualizar metricas historicas.</t>
  </si>
  <si>
    <t xml:space="preserve">Dashboards preconfigurados; alertas de infra.</t>
  </si>
  <si>
    <t xml:space="preserve">OBS-05</t>
  </si>
  <si>
    <t xml:space="preserve">Logs centralizados (Loki)</t>
  </si>
  <si>
    <t xml:space="preserve">Como SRE, quiero buscar logs de todos los servicios en un solo lugar.</t>
  </si>
  <si>
    <t xml:space="preserve">Loki + Promtail; queries desde Grafana.</t>
  </si>
  <si>
    <t xml:space="preserve">v0.6</t>
  </si>
  <si>
    <t xml:space="preserve">OBS-06</t>
  </si>
  <si>
    <t xml:space="preserve">Alertas si un servicio se cae</t>
  </si>
  <si>
    <t xml:space="preserve">Como SRE, quiero recibir notificacion si detector se cuelga.</t>
  </si>
  <si>
    <t xml:space="preserve">Detecta que no llegan heartbeats en N seg; dispara alerta.</t>
  </si>
  <si>
    <t xml:space="preserve">OBS-07</t>
  </si>
  <si>
    <t xml:space="preserve">Tracing distribuido (OpenTelemetry)</t>
  </si>
  <si>
    <t xml:space="preserve">Como dev, quiero ver el path completo de una alerta (ingesta -&gt; llava -&gt; db -&gt; telegram).</t>
  </si>
  <si>
    <t xml:space="preserve">Instrumentacion OTel; exportar a Jaeger o similar.</t>
  </si>
  <si>
    <t xml:space="preserve">OPS-01</t>
  </si>
  <si>
    <t xml:space="preserve">DevOps</t>
  </si>
  <si>
    <t xml:space="preserve">Launchers .bat para Windows</t>
  </si>
  <si>
    <t xml:space="preserve">Como dev, quiero arrancar todos los servicios con un solo archivo.</t>
  </si>
  <si>
    <t xml:space="preserve">start-todo.bat y variante rapida; cada servicio en cmd aparte.</t>
  </si>
  <si>
    <t xml:space="preserve">En carpeta bats/.</t>
  </si>
  <si>
    <t xml:space="preserve">OPS-02</t>
  </si>
  <si>
    <t xml:space="preserve">Dockerfile por servicio</t>
  </si>
  <si>
    <t xml:space="preserve">Como dev, quiero containerizar cada componente para portar a Linux.</t>
  </si>
  <si>
    <t xml:space="preserve">Dockerfile para detector, api, telegram_worker; multi-stage build.</t>
  </si>
  <si>
    <t xml:space="preserve">OPS-03</t>
  </si>
  <si>
    <t xml:space="preserve">Docker Compose orquestacion</t>
  </si>
  <si>
    <t xml:space="preserve">Como dev, quiero levantar todo con 'docker-compose up'.</t>
  </si>
  <si>
    <t xml:space="preserve">compose.yml con postgres, redis, minio, detector, api, telegram.</t>
  </si>
  <si>
    <t xml:space="preserve">Depende de OPS-02.</t>
  </si>
  <si>
    <t xml:space="preserve">OPS-04</t>
  </si>
  <si>
    <t xml:space="preserve">Deploy en Oracle Cloud</t>
  </si>
  <si>
    <t xml:space="preserve">Como producto, quiero correr en VPS publico con dominio y TLS.</t>
  </si>
  <si>
    <t xml:space="preserve">VM ARM Ampere; nginx reverse proxy; Certbot; deploy script.</t>
  </si>
  <si>
    <t xml:space="preserve">OPS-05</t>
  </si>
  <si>
    <t xml:space="preserve">CI/CD con GitHub Actions</t>
  </si>
  <si>
    <t xml:space="preserve">Como dev, quiero tests + build + deploy automaticos en cada push.</t>
  </si>
  <si>
    <t xml:space="preserve">Workflow de test; build de images; deploy a staging.</t>
  </si>
  <si>
    <t xml:space="preserve">OPS-06</t>
  </si>
  <si>
    <t xml:space="preserve">Gestion de secrets</t>
  </si>
  <si>
    <t xml:space="preserve">Como ops, no quiero credenciales en .env plano en produccion.</t>
  </si>
  <si>
    <t xml:space="preserve">Vault / Secrets Manager / env vars encriptadas.</t>
  </si>
  <si>
    <t xml:space="preserve">OPS-07</t>
  </si>
  <si>
    <t xml:space="preserve">Blue/green deployment</t>
  </si>
  <si>
    <t xml:space="preserve">Como ops, quiero desplegar sin downtime.</t>
  </si>
  <si>
    <t xml:space="preserve">Dos instancias; switch de reverse proxy; rollback rapido.</t>
  </si>
  <si>
    <t xml:space="preserve">OPS-08</t>
  </si>
  <si>
    <t xml:space="preserve">Backups automatizados de Postgres</t>
  </si>
  <si>
    <t xml:space="preserve">Como ops, no quiero perder datos si el disco falla.</t>
  </si>
  <si>
    <t xml:space="preserve">Cron diario; pg_dump; subida a S3; retencion 30 dias.</t>
  </si>
  <si>
    <t xml:space="preserve">SEC-01</t>
  </si>
  <si>
    <t xml:space="preserve">Seguridad</t>
  </si>
  <si>
    <t xml:space="preserve">Passwords con bcrypt</t>
  </si>
  <si>
    <t xml:space="preserve">Como sistema, quiero hashear passwords con algoritmo lento y salt.</t>
  </si>
  <si>
    <t xml:space="preserve">Campo password_hash; validacion con bcrypt.</t>
  </si>
  <si>
    <t xml:space="preserve">Schema ya tiene la columna.</t>
  </si>
  <si>
    <t xml:space="preserve">SEC-02</t>
  </si>
  <si>
    <t xml:space="preserve">Config sensible solo en DB</t>
  </si>
  <si>
    <t xml:space="preserve">Como sistema, no quiero tokens/keys en el codigo.</t>
  </si>
  <si>
    <t xml:space="preserve">Tabla configuracion_sistema; enmascarados en GET /config.</t>
  </si>
  <si>
    <t xml:space="preserve">SEC-03</t>
  </si>
  <si>
    <t xml:space="preserve">HTTPS/TLS con reverse proxy</t>
  </si>
  <si>
    <t xml:space="preserve">Como producto, quiero toda comunicacion encriptada.</t>
  </si>
  <si>
    <t xml:space="preserve">nginx + Let's Encrypt; redirect http -&gt; https.</t>
  </si>
  <si>
    <t xml:space="preserve">Bloqueante para produccion.</t>
  </si>
  <si>
    <t xml:space="preserve">SEC-04</t>
  </si>
  <si>
    <t xml:space="preserve">CSP y security headers</t>
  </si>
  <si>
    <t xml:space="preserve">Como backend, quiero prevenir XSS/clickjacking.</t>
  </si>
  <si>
    <t xml:space="preserve">Middleware con Content-Security-Policy, X-Frame-Options, etc.</t>
  </si>
  <si>
    <t xml:space="preserve">SEC-05</t>
  </si>
  <si>
    <t xml:space="preserve">CORS restrictivo</t>
  </si>
  <si>
    <t xml:space="preserve">Como backend, quiero limitar que dominios pueden consumir la API.</t>
  </si>
  <si>
    <t xml:space="preserve">Lista blanca configurable; no mas '*'.</t>
  </si>
  <si>
    <t xml:space="preserve">SEC-06</t>
  </si>
  <si>
    <t xml:space="preserve">Penetration testing</t>
  </si>
  <si>
    <t xml:space="preserve">Como producto, quiero validacion externa de seguridad antes de prod.</t>
  </si>
  <si>
    <t xml:space="preserve">Contratar pentesting o usar OWASP ZAP automatizado.</t>
  </si>
  <si>
    <t xml:space="preserve">SEC-07</t>
  </si>
  <si>
    <t xml:space="preserve">Cumplimiento LPDP / GDPR</t>
  </si>
  <si>
    <t xml:space="preserve">Como producto, quiero cumplir leyes de datos personales.</t>
  </si>
  <si>
    <t xml:space="preserve">Politica de privacidad; consentimiento; derecho al olvido; DPO.</t>
  </si>
  <si>
    <t xml:space="preserve">Critico si capturan rostros.</t>
  </si>
  <si>
    <t xml:space="preserve">SEC-08</t>
  </si>
  <si>
    <t xml:space="preserve">Encriptacion at-rest</t>
  </si>
  <si>
    <t xml:space="preserve">Como admin, quiero que el disco con datos sensibles este cifrado.</t>
  </si>
  <si>
    <t xml:space="preserve">LUKS / BitLocker; Postgres TDE si disponible.</t>
  </si>
  <si>
    <t xml:space="preserve">TEST-01</t>
  </si>
  <si>
    <t xml:space="preserve">Testing</t>
  </si>
  <si>
    <t xml:space="preserve">Tests unitarios con pytest</t>
  </si>
  <si>
    <t xml:space="preserve">Como dev, quiero validar logica critica (cooldown, parser LLaVA, retries).</t>
  </si>
  <si>
    <t xml:space="preserve">Suite pytest; fixtures; mocking de Redis/DB/MinIO.</t>
  </si>
  <si>
    <t xml:space="preserve">TEST-02</t>
  </si>
  <si>
    <t xml:space="preserve">Tests de integracion</t>
  </si>
  <si>
    <t xml:space="preserve">Como dev, quiero probar que detector + api + redis + minio funcionan juntos.</t>
  </si>
  <si>
    <t xml:space="preserve">docker-compose de test; scripts que verifican E2E.</t>
  </si>
  <si>
    <t xml:space="preserve">TEST-03</t>
  </si>
  <si>
    <t xml:space="preserve">Tests E2E con Playwright</t>
  </si>
  <si>
    <t xml:space="preserve">Como QA, quiero validar flujos completos en el frontend.</t>
  </si>
  <si>
    <t xml:space="preserve">Login -&gt; ver alerta -&gt; reconocer; screenshots en fallo.</t>
  </si>
  <si>
    <t xml:space="preserve">TEST-04</t>
  </si>
  <si>
    <t xml:space="preserve">Mocks de camaras RTSP</t>
  </si>
  <si>
    <t xml:space="preserve">Como dev, quiero tests deterministicos sin necesidad de camara real.</t>
  </si>
  <si>
    <t xml:space="preserve">Video file como stream; MediaMTX con fake source.</t>
  </si>
  <si>
    <t xml:space="preserve">TEST-05</t>
  </si>
  <si>
    <t xml:space="preserve">Cobertura minima 70%</t>
  </si>
  <si>
    <t xml:space="preserve">Como dev, quiero metricas de cobertura en CI y bloqueo bajo cierto umbral.</t>
  </si>
  <si>
    <t xml:space="preserve">pytest-cov; report HTML; gate en PR.</t>
  </si>
  <si>
    <t xml:space="preserve">TEST-06</t>
  </si>
  <si>
    <t xml:space="preserve">Tests de carga/stress</t>
  </si>
  <si>
    <t xml:space="preserve">Como SRE, quiero saber cuantas camaras aguanta un servidor.</t>
  </si>
  <si>
    <t xml:space="preserve">Locust o similar; simular N streams; medir latencia LLaVA.</t>
  </si>
  <si>
    <t xml:space="preserve">DOC-01</t>
  </si>
  <si>
    <t xml:space="preserve">Documentacion</t>
  </si>
  <si>
    <t xml:space="preserve">Docstrings en codigo</t>
  </si>
  <si>
    <t xml:space="preserve">Como dev, quiero que cada modulo explique su rol y uso.</t>
  </si>
  <si>
    <t xml:space="preserve">Docstrings formato Google/NumPy; tipos con typing.</t>
  </si>
  <si>
    <t xml:space="preserve">DOC-02</t>
  </si>
  <si>
    <t xml:space="preserve">Swagger/OpenAPI auto</t>
  </si>
  <si>
    <t xml:space="preserve">Como consumidor de la API, quiero documentacion interactiva.</t>
  </si>
  <si>
    <t xml:space="preserve">/docs auto-generado por FastAPI; tags por dominio.</t>
  </si>
  <si>
    <t xml:space="preserve">DOC-03</t>
  </si>
  <si>
    <t xml:space="preserve">README principal</t>
  </si>
  <si>
    <t xml:space="preserve">Como nuevo dev, quiero entender que es el proyecto en 5 minutos.</t>
  </si>
  <si>
    <t xml:space="preserve">Intro; arquitectura; quick start; links a docs detallados.</t>
  </si>
  <si>
    <t xml:space="preserve">DOC-04</t>
  </si>
  <si>
    <t xml:space="preserve">Guia de instalacion</t>
  </si>
  <si>
    <t xml:space="preserve">Como ops, quiero pasos exactos para montar el sistema en una PC nueva.</t>
  </si>
  <si>
    <t xml:space="preserve">Prerequisitos; instalacion componentes; verificacion.</t>
  </si>
  <si>
    <t xml:space="preserve">DOC-05</t>
  </si>
  <si>
    <t xml:space="preserve">Guia de usuario final</t>
  </si>
  <si>
    <t xml:space="preserve">Como usuario, quiero manual de uso del dashboard.</t>
  </si>
  <si>
    <t xml:space="preserve">Screenshots; flujos; FAQ.</t>
  </si>
  <si>
    <t xml:space="preserve">DOC-06</t>
  </si>
  <si>
    <t xml:space="preserve">Diagramas de arquitectura</t>
  </si>
  <si>
    <t xml:space="preserve">Como arquitecto, quiero ver visualmente como se conecta todo.</t>
  </si>
  <si>
    <t xml:space="preserve">C4 Model (context, containers, components); mermaid o draw.io.</t>
  </si>
  <si>
    <t xml:space="preserve">DOC-07</t>
  </si>
  <si>
    <t xml:space="preserve">Runbook operacional</t>
  </si>
  <si>
    <t xml:space="preserve">Como ops, quiero saber que hacer si algo se rompe.</t>
  </si>
  <si>
    <t xml:space="preserve">Troubleshooting por servicio; comandos comunes; escalacion.</t>
  </si>
  <si>
    <t xml:space="preserve">DOC-08</t>
  </si>
  <si>
    <t xml:space="preserve">ADRs (decisiones arquitectonicas)</t>
  </si>
  <si>
    <t xml:space="preserve">Como dev futuro, quiero entender por que se eligio X en vez de Y.</t>
  </si>
  <si>
    <t xml:space="preserve">Archivos docs/adr/NNN-titulo.md; template consistente.</t>
  </si>
  <si>
    <t xml:space="preserve">Camaras-IA - Resumen del Backlog</t>
  </si>
  <si>
    <t xml:space="preserve">Total items</t>
  </si>
  <si>
    <t xml:space="preserve">Hechos</t>
  </si>
  <si>
    <t xml:space="preserve">Pendientes</t>
  </si>
  <si>
    <t xml:space="preserve">% Completado</t>
  </si>
  <si>
    <t xml:space="preserve">Por Epica</t>
  </si>
  <si>
    <t xml:space="preserve">Total</t>
  </si>
  <si>
    <t xml:space="preserve">% Hecho</t>
  </si>
  <si>
    <t xml:space="preserve">P0 Pendientes</t>
  </si>
  <si>
    <t xml:space="preserve">TOTAL</t>
  </si>
  <si>
    <t xml:space="preserve">Guia del Backlog - Camaras-IA</t>
  </si>
  <si>
    <t xml:space="preserve">Columnas del backlog</t>
  </si>
  <si>
    <t xml:space="preserve">Identificador unico. Prefijo por epica (ING-, IA-, RT-, etc).</t>
  </si>
  <si>
    <t xml:space="preserve">Agrupacion funcional de items relacionados.</t>
  </si>
  <si>
    <t xml:space="preserve">Formato: Como &lt;rol&gt;, quiero &lt;accion&gt; para &lt;beneficio&gt;.</t>
  </si>
  <si>
    <t xml:space="preserve">Criterios</t>
  </si>
  <si>
    <t xml:space="preserve">Condiciones que deben cumplirse para considerar el item 'hecho'.</t>
  </si>
  <si>
    <t xml:space="preserve">P0 = Must (critico/bloqueante), P1 = Should, P2 = Could, P3 = Later.</t>
  </si>
  <si>
    <t xml:space="preserve">S = 1-2 dias, M = 3-5 dias, L = 1-2 semanas, XL = 3+ semanas.</t>
  </si>
  <si>
    <t xml:space="preserve">Hecho | En Progreso | Pendiente.</t>
  </si>
  <si>
    <t xml:space="preserve">Sugerencia tentativa de en que version/sprint entra.</t>
  </si>
  <si>
    <t xml:space="preserve">Convencion de releases</t>
  </si>
  <si>
    <t xml:space="preserve">Detector + DB + MinIO + API + Telegram (ya entregado).</t>
  </si>
  <si>
    <t xml:space="preserve">Cache + pub/sub + SSE (ya entregado).</t>
  </si>
  <si>
    <t xml:space="preserve">Autenticacion + CRUD basico + frontend integrado.</t>
  </si>
  <si>
    <t xml:space="preserve">Administracion completa + analitica + docker.</t>
  </si>
  <si>
    <t xml:space="preserve">Deploy produccion + HTTPS + testing + multi-tenant.</t>
  </si>
  <si>
    <t xml:space="preserve">v0.6+</t>
  </si>
  <si>
    <t xml:space="preserve">Refinamiento + observabilidad avanzada.</t>
  </si>
  <si>
    <t xml:space="preserve">Producto listo para ventas/clientes reales.</t>
  </si>
  <si>
    <t xml:space="preserve">Como usar este documento</t>
  </si>
  <si>
    <t xml:space="preserve">1</t>
  </si>
  <si>
    <t xml:space="preserve">Usar el auto-filter de la hoja Backlog para filtrar por prioridad, epica o estado.</t>
  </si>
  <si>
    <t xml:space="preserve">2</t>
  </si>
  <si>
    <t xml:space="preserve">Trabajar primero los P0 pendientes (columna resaltada en la hoja Resumen).</t>
  </si>
  <si>
    <t xml:space="preserve">3</t>
  </si>
  <si>
    <t xml:space="preserve">Actualizar la columna 'Estado' a medida que avanzas.</t>
  </si>
  <si>
    <t xml:space="preserve">4</t>
  </si>
  <si>
    <t xml:space="preserve">Las formulas de la hoja Resumen se actualizan solas.</t>
  </si>
  <si>
    <t xml:space="preserve">5</t>
  </si>
  <si>
    <t xml:space="preserve">Agregar items nuevos al final de la hoja Backlog con ID siguiente disponible.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</si>
</sst>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ill>
        <patternFill>
          <bgColor rgb="FFED7D31"/>
        </patternFill>
      </fill>
    </dxf>
    <dxf>
      <fill>
        <patternFill>
          <bgColor rgb="FFFFD966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5" min="4" style="0" width="5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8" hidden="false" customHeight="tru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customFormat="false" ht="48" hidden="false" customHeight="true" outlineLevel="0" collapsed="false">
      <c r="A3" s="2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2" t="s">
        <v>15</v>
      </c>
      <c r="G3" s="2" t="s">
        <v>16</v>
      </c>
      <c r="H3" s="2" t="s">
        <v>17</v>
      </c>
      <c r="I3" s="2" t="s">
        <v>18</v>
      </c>
      <c r="J3" s="3"/>
    </row>
    <row r="4" customFormat="false" ht="48" hidden="false" customHeight="true" outlineLevel="0" collapsed="false">
      <c r="A4" s="2" t="s">
        <v>24</v>
      </c>
      <c r="B4" s="3" t="s">
        <v>11</v>
      </c>
      <c r="C4" s="3" t="s">
        <v>25</v>
      </c>
      <c r="D4" s="3" t="s">
        <v>26</v>
      </c>
      <c r="E4" s="3" t="s">
        <v>27</v>
      </c>
      <c r="F4" s="2" t="s">
        <v>15</v>
      </c>
      <c r="G4" s="2" t="s">
        <v>28</v>
      </c>
      <c r="H4" s="2" t="s">
        <v>17</v>
      </c>
      <c r="I4" s="2" t="s">
        <v>18</v>
      </c>
      <c r="J4" s="3" t="s">
        <v>29</v>
      </c>
    </row>
    <row r="5" customFormat="false" ht="48" hidden="false" customHeight="true" outlineLevel="0" collapsed="false">
      <c r="A5" s="2" t="s">
        <v>30</v>
      </c>
      <c r="B5" s="3" t="s">
        <v>11</v>
      </c>
      <c r="C5" s="3" t="s">
        <v>31</v>
      </c>
      <c r="D5" s="3" t="s">
        <v>32</v>
      </c>
      <c r="E5" s="3" t="s">
        <v>33</v>
      </c>
      <c r="F5" s="2" t="s">
        <v>15</v>
      </c>
      <c r="G5" s="2" t="s">
        <v>16</v>
      </c>
      <c r="H5" s="2" t="s">
        <v>17</v>
      </c>
      <c r="I5" s="2" t="s">
        <v>18</v>
      </c>
      <c r="J5" s="3"/>
    </row>
    <row r="6" customFormat="false" ht="48" hidden="false" customHeight="true" outlineLevel="0" collapsed="false">
      <c r="A6" s="2" t="s">
        <v>34</v>
      </c>
      <c r="B6" s="3" t="s">
        <v>11</v>
      </c>
      <c r="C6" s="3" t="s">
        <v>35</v>
      </c>
      <c r="D6" s="3" t="s">
        <v>36</v>
      </c>
      <c r="E6" s="3" t="s">
        <v>37</v>
      </c>
      <c r="F6" s="2" t="s">
        <v>15</v>
      </c>
      <c r="G6" s="2" t="s">
        <v>38</v>
      </c>
      <c r="H6" s="2" t="s">
        <v>17</v>
      </c>
      <c r="I6" s="2" t="s">
        <v>18</v>
      </c>
      <c r="J6" s="3"/>
    </row>
    <row r="7" customFormat="false" ht="48" hidden="false" customHeight="true" outlineLevel="0" collapsed="false">
      <c r="A7" s="2" t="s">
        <v>39</v>
      </c>
      <c r="B7" s="3" t="s">
        <v>11</v>
      </c>
      <c r="C7" s="3" t="s">
        <v>40</v>
      </c>
      <c r="D7" s="3" t="s">
        <v>41</v>
      </c>
      <c r="E7" s="3" t="s">
        <v>42</v>
      </c>
      <c r="F7" s="2" t="s">
        <v>15</v>
      </c>
      <c r="G7" s="2" t="s">
        <v>16</v>
      </c>
      <c r="H7" s="2" t="s">
        <v>17</v>
      </c>
      <c r="I7" s="2" t="s">
        <v>18</v>
      </c>
      <c r="J7" s="3"/>
    </row>
    <row r="8" customFormat="false" ht="48" hidden="false" customHeight="true" outlineLevel="0" collapsed="false">
      <c r="A8" s="2" t="s">
        <v>43</v>
      </c>
      <c r="B8" s="3" t="s">
        <v>11</v>
      </c>
      <c r="C8" s="3" t="s">
        <v>44</v>
      </c>
      <c r="D8" s="3" t="s">
        <v>45</v>
      </c>
      <c r="E8" s="3" t="s">
        <v>46</v>
      </c>
      <c r="F8" s="2" t="s">
        <v>47</v>
      </c>
      <c r="G8" s="2" t="s">
        <v>16</v>
      </c>
      <c r="H8" s="2" t="s">
        <v>48</v>
      </c>
      <c r="I8" s="2" t="s">
        <v>49</v>
      </c>
      <c r="J8" s="3" t="s">
        <v>50</v>
      </c>
    </row>
    <row r="9" customFormat="false" ht="48" hidden="false" customHeight="true" outlineLevel="0" collapsed="false">
      <c r="A9" s="2" t="s">
        <v>51</v>
      </c>
      <c r="B9" s="3" t="s">
        <v>11</v>
      </c>
      <c r="C9" s="3" t="s">
        <v>52</v>
      </c>
      <c r="D9" s="3" t="s">
        <v>53</v>
      </c>
      <c r="E9" s="3" t="s">
        <v>54</v>
      </c>
      <c r="F9" s="2" t="s">
        <v>55</v>
      </c>
      <c r="G9" s="2" t="s">
        <v>28</v>
      </c>
      <c r="H9" s="2" t="s">
        <v>48</v>
      </c>
      <c r="I9" s="2" t="s">
        <v>56</v>
      </c>
      <c r="J9" s="3" t="s">
        <v>57</v>
      </c>
    </row>
    <row r="10" customFormat="false" ht="48" hidden="false" customHeight="true" outlineLevel="0" collapsed="false">
      <c r="A10" s="2" t="s">
        <v>58</v>
      </c>
      <c r="B10" s="3" t="s">
        <v>11</v>
      </c>
      <c r="C10" s="3" t="s">
        <v>59</v>
      </c>
      <c r="D10" s="3" t="s">
        <v>60</v>
      </c>
      <c r="E10" s="3" t="s">
        <v>61</v>
      </c>
      <c r="F10" s="2" t="s">
        <v>62</v>
      </c>
      <c r="G10" s="2" t="s">
        <v>63</v>
      </c>
      <c r="H10" s="2" t="s">
        <v>48</v>
      </c>
      <c r="I10" s="2" t="s">
        <v>64</v>
      </c>
      <c r="J10" s="3" t="s">
        <v>65</v>
      </c>
    </row>
    <row r="11" customFormat="false" ht="48" hidden="false" customHeight="true" outlineLevel="0" collapsed="false">
      <c r="A11" s="2" t="s">
        <v>66</v>
      </c>
      <c r="B11" s="3" t="s">
        <v>11</v>
      </c>
      <c r="C11" s="3" t="s">
        <v>67</v>
      </c>
      <c r="D11" s="3" t="s">
        <v>68</v>
      </c>
      <c r="E11" s="3" t="s">
        <v>69</v>
      </c>
      <c r="F11" s="2" t="s">
        <v>47</v>
      </c>
      <c r="G11" s="2" t="s">
        <v>28</v>
      </c>
      <c r="H11" s="2" t="s">
        <v>48</v>
      </c>
      <c r="I11" s="2" t="s">
        <v>70</v>
      </c>
      <c r="J11" s="3"/>
    </row>
    <row r="12" customFormat="false" ht="48" hidden="false" customHeight="true" outlineLevel="0" collapsed="false">
      <c r="A12" s="2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2" t="s">
        <v>15</v>
      </c>
      <c r="G12" s="2" t="s">
        <v>16</v>
      </c>
      <c r="H12" s="2" t="s">
        <v>17</v>
      </c>
      <c r="I12" s="2" t="s">
        <v>18</v>
      </c>
      <c r="J12" s="3" t="s">
        <v>76</v>
      </c>
    </row>
    <row r="13" customFormat="false" ht="48" hidden="false" customHeight="true" outlineLevel="0" collapsed="false">
      <c r="A13" s="2" t="s">
        <v>77</v>
      </c>
      <c r="B13" s="3" t="s">
        <v>72</v>
      </c>
      <c r="C13" s="3" t="s">
        <v>78</v>
      </c>
      <c r="D13" s="3" t="s">
        <v>79</v>
      </c>
      <c r="E13" s="3" t="s">
        <v>80</v>
      </c>
      <c r="F13" s="2" t="s">
        <v>15</v>
      </c>
      <c r="G13" s="2" t="s">
        <v>38</v>
      </c>
      <c r="H13" s="2" t="s">
        <v>17</v>
      </c>
      <c r="I13" s="2" t="s">
        <v>18</v>
      </c>
      <c r="J13" s="3"/>
    </row>
    <row r="14" customFormat="false" ht="48" hidden="false" customHeight="true" outlineLevel="0" collapsed="false">
      <c r="A14" s="2" t="s">
        <v>81</v>
      </c>
      <c r="B14" s="3" t="s">
        <v>72</v>
      </c>
      <c r="C14" s="3" t="s">
        <v>82</v>
      </c>
      <c r="D14" s="3" t="s">
        <v>83</v>
      </c>
      <c r="E14" s="3" t="s">
        <v>84</v>
      </c>
      <c r="F14" s="2" t="s">
        <v>15</v>
      </c>
      <c r="G14" s="2" t="s">
        <v>16</v>
      </c>
      <c r="H14" s="2" t="s">
        <v>17</v>
      </c>
      <c r="I14" s="2" t="s">
        <v>18</v>
      </c>
      <c r="J14" s="3" t="s">
        <v>85</v>
      </c>
    </row>
    <row r="15" customFormat="false" ht="48" hidden="false" customHeight="true" outlineLevel="0" collapsed="false">
      <c r="A15" s="2" t="s">
        <v>86</v>
      </c>
      <c r="B15" s="3" t="s">
        <v>72</v>
      </c>
      <c r="C15" s="3" t="s">
        <v>87</v>
      </c>
      <c r="D15" s="3" t="s">
        <v>88</v>
      </c>
      <c r="E15" s="3" t="s">
        <v>89</v>
      </c>
      <c r="F15" s="2" t="s">
        <v>15</v>
      </c>
      <c r="G15" s="2" t="s">
        <v>38</v>
      </c>
      <c r="H15" s="2" t="s">
        <v>17</v>
      </c>
      <c r="I15" s="2" t="s">
        <v>18</v>
      </c>
      <c r="J15" s="3"/>
    </row>
    <row r="16" customFormat="false" ht="48" hidden="false" customHeight="true" outlineLevel="0" collapsed="false">
      <c r="A16" s="2" t="s">
        <v>90</v>
      </c>
      <c r="B16" s="3" t="s">
        <v>72</v>
      </c>
      <c r="C16" s="3" t="s">
        <v>91</v>
      </c>
      <c r="D16" s="3" t="s">
        <v>92</v>
      </c>
      <c r="E16" s="3" t="s">
        <v>93</v>
      </c>
      <c r="F16" s="2" t="s">
        <v>47</v>
      </c>
      <c r="G16" s="2" t="s">
        <v>28</v>
      </c>
      <c r="H16" s="2" t="s">
        <v>48</v>
      </c>
      <c r="I16" s="2" t="s">
        <v>70</v>
      </c>
      <c r="J16" s="3"/>
    </row>
    <row r="17" customFormat="false" ht="48" hidden="false" customHeight="true" outlineLevel="0" collapsed="false">
      <c r="A17" s="2" t="s">
        <v>94</v>
      </c>
      <c r="B17" s="3" t="s">
        <v>72</v>
      </c>
      <c r="C17" s="3" t="s">
        <v>95</v>
      </c>
      <c r="D17" s="3" t="s">
        <v>96</v>
      </c>
      <c r="E17" s="3" t="s">
        <v>97</v>
      </c>
      <c r="F17" s="2" t="s">
        <v>62</v>
      </c>
      <c r="G17" s="2" t="s">
        <v>63</v>
      </c>
      <c r="H17" s="2" t="s">
        <v>48</v>
      </c>
      <c r="I17" s="2" t="s">
        <v>64</v>
      </c>
      <c r="J17" s="3" t="s">
        <v>98</v>
      </c>
    </row>
    <row r="18" customFormat="false" ht="48" hidden="false" customHeight="true" outlineLevel="0" collapsed="false">
      <c r="A18" s="2" t="s">
        <v>99</v>
      </c>
      <c r="B18" s="3" t="s">
        <v>72</v>
      </c>
      <c r="C18" s="3" t="s">
        <v>100</v>
      </c>
      <c r="D18" s="3" t="s">
        <v>101</v>
      </c>
      <c r="E18" s="3" t="s">
        <v>102</v>
      </c>
      <c r="F18" s="2" t="s">
        <v>62</v>
      </c>
      <c r="G18" s="2" t="s">
        <v>63</v>
      </c>
      <c r="H18" s="2" t="s">
        <v>48</v>
      </c>
      <c r="I18" s="2" t="s">
        <v>103</v>
      </c>
      <c r="J18" s="3"/>
    </row>
    <row r="19" customFormat="false" ht="48" hidden="false" customHeight="true" outlineLevel="0" collapsed="false">
      <c r="A19" s="2" t="s">
        <v>104</v>
      </c>
      <c r="B19" s="3" t="s">
        <v>105</v>
      </c>
      <c r="C19" s="3" t="s">
        <v>106</v>
      </c>
      <c r="D19" s="3" t="s">
        <v>107</v>
      </c>
      <c r="E19" s="3" t="s">
        <v>108</v>
      </c>
      <c r="F19" s="2" t="s">
        <v>15</v>
      </c>
      <c r="G19" s="2" t="s">
        <v>16</v>
      </c>
      <c r="H19" s="2" t="s">
        <v>17</v>
      </c>
      <c r="I19" s="2" t="s">
        <v>18</v>
      </c>
      <c r="J19" s="3" t="s">
        <v>109</v>
      </c>
    </row>
    <row r="20" customFormat="false" ht="48" hidden="false" customHeight="true" outlineLevel="0" collapsed="false">
      <c r="A20" s="2" t="s">
        <v>110</v>
      </c>
      <c r="B20" s="3" t="s">
        <v>105</v>
      </c>
      <c r="C20" s="3" t="s">
        <v>111</v>
      </c>
      <c r="D20" s="3" t="s">
        <v>112</v>
      </c>
      <c r="E20" s="3" t="s">
        <v>113</v>
      </c>
      <c r="F20" s="2" t="s">
        <v>15</v>
      </c>
      <c r="G20" s="2" t="s">
        <v>38</v>
      </c>
      <c r="H20" s="2" t="s">
        <v>17</v>
      </c>
      <c r="I20" s="2" t="s">
        <v>18</v>
      </c>
      <c r="J20" s="3"/>
    </row>
    <row r="21" customFormat="false" ht="48" hidden="false" customHeight="true" outlineLevel="0" collapsed="false">
      <c r="A21" s="2" t="s">
        <v>114</v>
      </c>
      <c r="B21" s="3" t="s">
        <v>105</v>
      </c>
      <c r="C21" s="3" t="s">
        <v>115</v>
      </c>
      <c r="D21" s="3" t="s">
        <v>116</v>
      </c>
      <c r="E21" s="3" t="s">
        <v>117</v>
      </c>
      <c r="F21" s="2" t="s">
        <v>15</v>
      </c>
      <c r="G21" s="2" t="s">
        <v>38</v>
      </c>
      <c r="H21" s="2" t="s">
        <v>17</v>
      </c>
      <c r="I21" s="2" t="s">
        <v>18</v>
      </c>
      <c r="J21" s="3"/>
    </row>
    <row r="22" customFormat="false" ht="48" hidden="false" customHeight="true" outlineLevel="0" collapsed="false">
      <c r="A22" s="2" t="s">
        <v>118</v>
      </c>
      <c r="B22" s="3" t="s">
        <v>105</v>
      </c>
      <c r="C22" s="3" t="s">
        <v>119</v>
      </c>
      <c r="D22" s="3" t="s">
        <v>120</v>
      </c>
      <c r="E22" s="3" t="s">
        <v>121</v>
      </c>
      <c r="F22" s="2" t="s">
        <v>55</v>
      </c>
      <c r="G22" s="2" t="s">
        <v>38</v>
      </c>
      <c r="H22" s="2" t="s">
        <v>48</v>
      </c>
      <c r="I22" s="2" t="s">
        <v>56</v>
      </c>
      <c r="J22" s="3" t="s">
        <v>122</v>
      </c>
    </row>
    <row r="23" customFormat="false" ht="48" hidden="false" customHeight="true" outlineLevel="0" collapsed="false">
      <c r="A23" s="2" t="s">
        <v>123</v>
      </c>
      <c r="B23" s="3" t="s">
        <v>105</v>
      </c>
      <c r="C23" s="3" t="s">
        <v>124</v>
      </c>
      <c r="D23" s="3" t="s">
        <v>125</v>
      </c>
      <c r="E23" s="3" t="s">
        <v>126</v>
      </c>
      <c r="F23" s="2" t="s">
        <v>47</v>
      </c>
      <c r="G23" s="2" t="s">
        <v>16</v>
      </c>
      <c r="H23" s="2" t="s">
        <v>48</v>
      </c>
      <c r="I23" s="2" t="s">
        <v>70</v>
      </c>
      <c r="J23" s="3"/>
    </row>
    <row r="24" customFormat="false" ht="48" hidden="false" customHeight="true" outlineLevel="0" collapsed="false">
      <c r="A24" s="2" t="s">
        <v>127</v>
      </c>
      <c r="B24" s="3" t="s">
        <v>105</v>
      </c>
      <c r="C24" s="3" t="s">
        <v>128</v>
      </c>
      <c r="D24" s="3" t="s">
        <v>129</v>
      </c>
      <c r="E24" s="3" t="s">
        <v>130</v>
      </c>
      <c r="F24" s="2" t="s">
        <v>47</v>
      </c>
      <c r="G24" s="2" t="s">
        <v>38</v>
      </c>
      <c r="H24" s="2" t="s">
        <v>48</v>
      </c>
      <c r="I24" s="2" t="s">
        <v>49</v>
      </c>
      <c r="J24" s="3"/>
    </row>
    <row r="25" customFormat="false" ht="48" hidden="false" customHeight="true" outlineLevel="0" collapsed="false">
      <c r="A25" s="2" t="s">
        <v>131</v>
      </c>
      <c r="B25" s="3" t="s">
        <v>105</v>
      </c>
      <c r="C25" s="3" t="s">
        <v>132</v>
      </c>
      <c r="D25" s="3" t="s">
        <v>133</v>
      </c>
      <c r="E25" s="3" t="s">
        <v>134</v>
      </c>
      <c r="F25" s="2" t="s">
        <v>47</v>
      </c>
      <c r="G25" s="2" t="s">
        <v>38</v>
      </c>
      <c r="H25" s="2" t="s">
        <v>48</v>
      </c>
      <c r="I25" s="2" t="s">
        <v>135</v>
      </c>
      <c r="J25" s="3" t="s">
        <v>136</v>
      </c>
    </row>
    <row r="26" customFormat="false" ht="48" hidden="false" customHeight="true" outlineLevel="0" collapsed="false">
      <c r="A26" s="2" t="s">
        <v>137</v>
      </c>
      <c r="B26" s="3" t="s">
        <v>138</v>
      </c>
      <c r="C26" s="3" t="s">
        <v>139</v>
      </c>
      <c r="D26" s="3" t="s">
        <v>140</v>
      </c>
      <c r="E26" s="3" t="s">
        <v>141</v>
      </c>
      <c r="F26" s="2" t="s">
        <v>15</v>
      </c>
      <c r="G26" s="2" t="s">
        <v>16</v>
      </c>
      <c r="H26" s="2" t="s">
        <v>17</v>
      </c>
      <c r="I26" s="2" t="s">
        <v>142</v>
      </c>
      <c r="J26" s="3" t="s">
        <v>143</v>
      </c>
    </row>
    <row r="27" customFormat="false" ht="48" hidden="false" customHeight="true" outlineLevel="0" collapsed="false">
      <c r="A27" s="2" t="s">
        <v>144</v>
      </c>
      <c r="B27" s="3" t="s">
        <v>138</v>
      </c>
      <c r="C27" s="3" t="s">
        <v>145</v>
      </c>
      <c r="D27" s="3" t="s">
        <v>146</v>
      </c>
      <c r="E27" s="3" t="s">
        <v>147</v>
      </c>
      <c r="F27" s="2" t="s">
        <v>15</v>
      </c>
      <c r="G27" s="2" t="s">
        <v>16</v>
      </c>
      <c r="H27" s="2" t="s">
        <v>17</v>
      </c>
      <c r="I27" s="2" t="s">
        <v>142</v>
      </c>
      <c r="J27" s="3" t="s">
        <v>148</v>
      </c>
    </row>
    <row r="28" customFormat="false" ht="48" hidden="false" customHeight="true" outlineLevel="0" collapsed="false">
      <c r="A28" s="2" t="s">
        <v>149</v>
      </c>
      <c r="B28" s="3" t="s">
        <v>138</v>
      </c>
      <c r="C28" s="3" t="s">
        <v>150</v>
      </c>
      <c r="D28" s="3" t="s">
        <v>151</v>
      </c>
      <c r="E28" s="3" t="s">
        <v>152</v>
      </c>
      <c r="F28" s="2" t="s">
        <v>15</v>
      </c>
      <c r="G28" s="2" t="s">
        <v>38</v>
      </c>
      <c r="H28" s="2" t="s">
        <v>17</v>
      </c>
      <c r="I28" s="2" t="s">
        <v>142</v>
      </c>
      <c r="J28" s="3"/>
    </row>
    <row r="29" customFormat="false" ht="48" hidden="false" customHeight="true" outlineLevel="0" collapsed="false">
      <c r="A29" s="2" t="s">
        <v>153</v>
      </c>
      <c r="B29" s="3" t="s">
        <v>138</v>
      </c>
      <c r="C29" s="3" t="s">
        <v>154</v>
      </c>
      <c r="D29" s="3" t="s">
        <v>155</v>
      </c>
      <c r="E29" s="3" t="s">
        <v>156</v>
      </c>
      <c r="F29" s="2" t="s">
        <v>15</v>
      </c>
      <c r="G29" s="2" t="s">
        <v>38</v>
      </c>
      <c r="H29" s="2" t="s">
        <v>17</v>
      </c>
      <c r="I29" s="2" t="s">
        <v>142</v>
      </c>
      <c r="J29" s="3"/>
    </row>
    <row r="30" customFormat="false" ht="48" hidden="false" customHeight="true" outlineLevel="0" collapsed="false">
      <c r="A30" s="2" t="s">
        <v>157</v>
      </c>
      <c r="B30" s="3" t="s">
        <v>138</v>
      </c>
      <c r="C30" s="3" t="s">
        <v>158</v>
      </c>
      <c r="D30" s="3" t="s">
        <v>159</v>
      </c>
      <c r="E30" s="3" t="s">
        <v>160</v>
      </c>
      <c r="F30" s="2" t="s">
        <v>15</v>
      </c>
      <c r="G30" s="2" t="s">
        <v>16</v>
      </c>
      <c r="H30" s="2" t="s">
        <v>17</v>
      </c>
      <c r="I30" s="2" t="s">
        <v>142</v>
      </c>
      <c r="J30" s="3" t="s">
        <v>161</v>
      </c>
    </row>
    <row r="31" customFormat="false" ht="48" hidden="false" customHeight="true" outlineLevel="0" collapsed="false">
      <c r="A31" s="2" t="s">
        <v>162</v>
      </c>
      <c r="B31" s="3" t="s">
        <v>138</v>
      </c>
      <c r="C31" s="3" t="s">
        <v>163</v>
      </c>
      <c r="D31" s="3" t="s">
        <v>164</v>
      </c>
      <c r="E31" s="3" t="s">
        <v>165</v>
      </c>
      <c r="F31" s="2" t="s">
        <v>47</v>
      </c>
      <c r="G31" s="2" t="s">
        <v>28</v>
      </c>
      <c r="H31" s="2" t="s">
        <v>48</v>
      </c>
      <c r="I31" s="2" t="s">
        <v>70</v>
      </c>
      <c r="J31" s="3" t="s">
        <v>166</v>
      </c>
    </row>
    <row r="32" customFormat="false" ht="48" hidden="false" customHeight="true" outlineLevel="0" collapsed="false">
      <c r="A32" s="2" t="s">
        <v>167</v>
      </c>
      <c r="B32" s="3" t="s">
        <v>138</v>
      </c>
      <c r="C32" s="3" t="s">
        <v>168</v>
      </c>
      <c r="D32" s="3" t="s">
        <v>169</v>
      </c>
      <c r="E32" s="3" t="s">
        <v>170</v>
      </c>
      <c r="F32" s="2" t="s">
        <v>47</v>
      </c>
      <c r="G32" s="2" t="s">
        <v>16</v>
      </c>
      <c r="H32" s="2" t="s">
        <v>48</v>
      </c>
      <c r="I32" s="2" t="s">
        <v>135</v>
      </c>
      <c r="J32" s="3"/>
    </row>
    <row r="33" customFormat="false" ht="48" hidden="false" customHeight="true" outlineLevel="0" collapsed="false">
      <c r="A33" s="2" t="s">
        <v>171</v>
      </c>
      <c r="B33" s="3" t="s">
        <v>138</v>
      </c>
      <c r="C33" s="3" t="s">
        <v>172</v>
      </c>
      <c r="D33" s="3" t="s">
        <v>173</v>
      </c>
      <c r="E33" s="3" t="s">
        <v>174</v>
      </c>
      <c r="F33" s="2" t="s">
        <v>55</v>
      </c>
      <c r="G33" s="2" t="s">
        <v>16</v>
      </c>
      <c r="H33" s="2" t="s">
        <v>48</v>
      </c>
      <c r="I33" s="2" t="s">
        <v>49</v>
      </c>
      <c r="J33" s="3"/>
    </row>
    <row r="34" customFormat="false" ht="48" hidden="false" customHeight="true" outlineLevel="0" collapsed="false">
      <c r="A34" s="2" t="s">
        <v>175</v>
      </c>
      <c r="B34" s="3" t="s">
        <v>176</v>
      </c>
      <c r="C34" s="3" t="s">
        <v>177</v>
      </c>
      <c r="D34" s="3" t="s">
        <v>178</v>
      </c>
      <c r="E34" s="3" t="s">
        <v>179</v>
      </c>
      <c r="F34" s="2" t="s">
        <v>15</v>
      </c>
      <c r="G34" s="2" t="s">
        <v>16</v>
      </c>
      <c r="H34" s="2" t="s">
        <v>17</v>
      </c>
      <c r="I34" s="2" t="s">
        <v>18</v>
      </c>
      <c r="J34" s="3" t="s">
        <v>180</v>
      </c>
    </row>
    <row r="35" customFormat="false" ht="48" hidden="false" customHeight="true" outlineLevel="0" collapsed="false">
      <c r="A35" s="2" t="s">
        <v>181</v>
      </c>
      <c r="B35" s="3" t="s">
        <v>176</v>
      </c>
      <c r="C35" s="3" t="s">
        <v>182</v>
      </c>
      <c r="D35" s="3" t="s">
        <v>183</v>
      </c>
      <c r="E35" s="3" t="s">
        <v>184</v>
      </c>
      <c r="F35" s="2" t="s">
        <v>15</v>
      </c>
      <c r="G35" s="2" t="s">
        <v>16</v>
      </c>
      <c r="H35" s="2" t="s">
        <v>17</v>
      </c>
      <c r="I35" s="2" t="s">
        <v>18</v>
      </c>
      <c r="J35" s="3"/>
    </row>
    <row r="36" customFormat="false" ht="48" hidden="false" customHeight="true" outlineLevel="0" collapsed="false">
      <c r="A36" s="2" t="s">
        <v>185</v>
      </c>
      <c r="B36" s="3" t="s">
        <v>176</v>
      </c>
      <c r="C36" s="3" t="s">
        <v>186</v>
      </c>
      <c r="D36" s="3" t="s">
        <v>187</v>
      </c>
      <c r="E36" s="3" t="s">
        <v>188</v>
      </c>
      <c r="F36" s="2" t="s">
        <v>15</v>
      </c>
      <c r="G36" s="2" t="s">
        <v>38</v>
      </c>
      <c r="H36" s="2" t="s">
        <v>17</v>
      </c>
      <c r="I36" s="2" t="s">
        <v>18</v>
      </c>
      <c r="J36" s="3"/>
    </row>
    <row r="37" customFormat="false" ht="48" hidden="false" customHeight="true" outlineLevel="0" collapsed="false">
      <c r="A37" s="2" t="s">
        <v>189</v>
      </c>
      <c r="B37" s="3" t="s">
        <v>176</v>
      </c>
      <c r="C37" s="3" t="s">
        <v>190</v>
      </c>
      <c r="D37" s="3" t="s">
        <v>191</v>
      </c>
      <c r="E37" s="3" t="s">
        <v>192</v>
      </c>
      <c r="F37" s="2" t="s">
        <v>55</v>
      </c>
      <c r="G37" s="2" t="s">
        <v>38</v>
      </c>
      <c r="H37" s="2" t="s">
        <v>48</v>
      </c>
      <c r="I37" s="2" t="s">
        <v>56</v>
      </c>
      <c r="J37" s="3" t="s">
        <v>193</v>
      </c>
    </row>
    <row r="38" customFormat="false" ht="48" hidden="false" customHeight="true" outlineLevel="0" collapsed="false">
      <c r="A38" s="2" t="s">
        <v>194</v>
      </c>
      <c r="B38" s="3" t="s">
        <v>176</v>
      </c>
      <c r="C38" s="3" t="s">
        <v>195</v>
      </c>
      <c r="D38" s="3" t="s">
        <v>196</v>
      </c>
      <c r="E38" s="3" t="s">
        <v>197</v>
      </c>
      <c r="F38" s="2" t="s">
        <v>55</v>
      </c>
      <c r="G38" s="2" t="s">
        <v>16</v>
      </c>
      <c r="H38" s="2" t="s">
        <v>48</v>
      </c>
      <c r="I38" s="2" t="s">
        <v>49</v>
      </c>
      <c r="J38" s="3" t="s">
        <v>198</v>
      </c>
    </row>
    <row r="39" customFormat="false" ht="48" hidden="false" customHeight="true" outlineLevel="0" collapsed="false">
      <c r="A39" s="2" t="s">
        <v>199</v>
      </c>
      <c r="B39" s="3" t="s">
        <v>176</v>
      </c>
      <c r="C39" s="3" t="s">
        <v>200</v>
      </c>
      <c r="D39" s="3" t="s">
        <v>201</v>
      </c>
      <c r="E39" s="3" t="s">
        <v>202</v>
      </c>
      <c r="F39" s="2" t="s">
        <v>47</v>
      </c>
      <c r="G39" s="2" t="s">
        <v>16</v>
      </c>
      <c r="H39" s="2" t="s">
        <v>48</v>
      </c>
      <c r="I39" s="2" t="s">
        <v>70</v>
      </c>
      <c r="J39" s="3"/>
    </row>
    <row r="40" customFormat="false" ht="48" hidden="false" customHeight="true" outlineLevel="0" collapsed="false">
      <c r="A40" s="2" t="s">
        <v>203</v>
      </c>
      <c r="B40" s="3" t="s">
        <v>176</v>
      </c>
      <c r="C40" s="3" t="s">
        <v>204</v>
      </c>
      <c r="D40" s="3" t="s">
        <v>205</v>
      </c>
      <c r="E40" s="3" t="s">
        <v>206</v>
      </c>
      <c r="F40" s="2" t="s">
        <v>47</v>
      </c>
      <c r="G40" s="2" t="s">
        <v>16</v>
      </c>
      <c r="H40" s="2" t="s">
        <v>48</v>
      </c>
      <c r="I40" s="2" t="s">
        <v>49</v>
      </c>
      <c r="J40" s="3"/>
    </row>
    <row r="41" customFormat="false" ht="48" hidden="false" customHeight="true" outlineLevel="0" collapsed="false">
      <c r="A41" s="2" t="s">
        <v>207</v>
      </c>
      <c r="B41" s="3" t="s">
        <v>176</v>
      </c>
      <c r="C41" s="3" t="s">
        <v>208</v>
      </c>
      <c r="D41" s="3" t="s">
        <v>209</v>
      </c>
      <c r="E41" s="3" t="s">
        <v>210</v>
      </c>
      <c r="F41" s="2" t="s">
        <v>62</v>
      </c>
      <c r="G41" s="2" t="s">
        <v>28</v>
      </c>
      <c r="H41" s="2" t="s">
        <v>48</v>
      </c>
      <c r="I41" s="2" t="s">
        <v>64</v>
      </c>
      <c r="J41" s="3" t="s">
        <v>211</v>
      </c>
    </row>
    <row r="42" customFormat="false" ht="48" hidden="false" customHeight="true" outlineLevel="0" collapsed="false">
      <c r="A42" s="2" t="s">
        <v>212</v>
      </c>
      <c r="B42" s="3" t="s">
        <v>176</v>
      </c>
      <c r="C42" s="3" t="s">
        <v>213</v>
      </c>
      <c r="D42" s="3" t="s">
        <v>214</v>
      </c>
      <c r="E42" s="3" t="s">
        <v>215</v>
      </c>
      <c r="F42" s="2" t="s">
        <v>47</v>
      </c>
      <c r="G42" s="2" t="s">
        <v>16</v>
      </c>
      <c r="H42" s="2" t="s">
        <v>48</v>
      </c>
      <c r="I42" s="2" t="s">
        <v>135</v>
      </c>
      <c r="J42" s="3"/>
    </row>
    <row r="43" customFormat="false" ht="48" hidden="false" customHeight="true" outlineLevel="0" collapsed="false">
      <c r="A43" s="2" t="s">
        <v>216</v>
      </c>
      <c r="B43" s="3" t="s">
        <v>217</v>
      </c>
      <c r="C43" s="3" t="s">
        <v>218</v>
      </c>
      <c r="D43" s="3" t="s">
        <v>219</v>
      </c>
      <c r="E43" s="3" t="s">
        <v>220</v>
      </c>
      <c r="F43" s="2" t="s">
        <v>15</v>
      </c>
      <c r="G43" s="2" t="s">
        <v>28</v>
      </c>
      <c r="H43" s="2" t="s">
        <v>17</v>
      </c>
      <c r="I43" s="2" t="s">
        <v>18</v>
      </c>
      <c r="J43" s="3" t="s">
        <v>221</v>
      </c>
    </row>
    <row r="44" customFormat="false" ht="48" hidden="false" customHeight="true" outlineLevel="0" collapsed="false">
      <c r="A44" s="2" t="s">
        <v>222</v>
      </c>
      <c r="B44" s="3" t="s">
        <v>217</v>
      </c>
      <c r="C44" s="3" t="s">
        <v>223</v>
      </c>
      <c r="D44" s="3" t="s">
        <v>224</v>
      </c>
      <c r="E44" s="3" t="s">
        <v>225</v>
      </c>
      <c r="F44" s="2" t="s">
        <v>15</v>
      </c>
      <c r="G44" s="2" t="s">
        <v>16</v>
      </c>
      <c r="H44" s="2" t="s">
        <v>17</v>
      </c>
      <c r="I44" s="2" t="s">
        <v>18</v>
      </c>
      <c r="J44" s="3"/>
    </row>
    <row r="45" customFormat="false" ht="48" hidden="false" customHeight="true" outlineLevel="0" collapsed="false">
      <c r="A45" s="2" t="s">
        <v>226</v>
      </c>
      <c r="B45" s="3" t="s">
        <v>217</v>
      </c>
      <c r="C45" s="3" t="s">
        <v>227</v>
      </c>
      <c r="D45" s="3" t="s">
        <v>228</v>
      </c>
      <c r="E45" s="3" t="s">
        <v>229</v>
      </c>
      <c r="F45" s="2" t="s">
        <v>15</v>
      </c>
      <c r="G45" s="2" t="s">
        <v>38</v>
      </c>
      <c r="H45" s="2" t="s">
        <v>17</v>
      </c>
      <c r="I45" s="2" t="s">
        <v>18</v>
      </c>
      <c r="J45" s="3"/>
    </row>
    <row r="46" customFormat="false" ht="48" hidden="false" customHeight="true" outlineLevel="0" collapsed="false">
      <c r="A46" s="2" t="s">
        <v>230</v>
      </c>
      <c r="B46" s="3" t="s">
        <v>217</v>
      </c>
      <c r="C46" s="3" t="s">
        <v>231</v>
      </c>
      <c r="D46" s="3" t="s">
        <v>232</v>
      </c>
      <c r="E46" s="3" t="s">
        <v>233</v>
      </c>
      <c r="F46" s="2" t="s">
        <v>15</v>
      </c>
      <c r="G46" s="2" t="s">
        <v>16</v>
      </c>
      <c r="H46" s="2" t="s">
        <v>17</v>
      </c>
      <c r="I46" s="2" t="s">
        <v>142</v>
      </c>
      <c r="J46" s="3"/>
    </row>
    <row r="47" customFormat="false" ht="48" hidden="false" customHeight="true" outlineLevel="0" collapsed="false">
      <c r="A47" s="2" t="s">
        <v>234</v>
      </c>
      <c r="B47" s="3" t="s">
        <v>217</v>
      </c>
      <c r="C47" s="3" t="s">
        <v>235</v>
      </c>
      <c r="D47" s="3" t="s">
        <v>236</v>
      </c>
      <c r="E47" s="3" t="s">
        <v>237</v>
      </c>
      <c r="F47" s="2" t="s">
        <v>15</v>
      </c>
      <c r="G47" s="2" t="s">
        <v>28</v>
      </c>
      <c r="H47" s="2" t="s">
        <v>48</v>
      </c>
      <c r="I47" s="2" t="s">
        <v>238</v>
      </c>
      <c r="J47" s="3" t="s">
        <v>239</v>
      </c>
    </row>
    <row r="48" customFormat="false" ht="48" hidden="false" customHeight="true" outlineLevel="0" collapsed="false">
      <c r="A48" s="2" t="s">
        <v>240</v>
      </c>
      <c r="B48" s="3" t="s">
        <v>217</v>
      </c>
      <c r="C48" s="3" t="s">
        <v>241</v>
      </c>
      <c r="D48" s="3" t="s">
        <v>242</v>
      </c>
      <c r="E48" s="3" t="s">
        <v>243</v>
      </c>
      <c r="F48" s="2" t="s">
        <v>55</v>
      </c>
      <c r="G48" s="2" t="s">
        <v>16</v>
      </c>
      <c r="H48" s="2" t="s">
        <v>48</v>
      </c>
      <c r="I48" s="2" t="s">
        <v>49</v>
      </c>
      <c r="J48" s="3" t="s">
        <v>244</v>
      </c>
    </row>
    <row r="49" customFormat="false" ht="48" hidden="false" customHeight="true" outlineLevel="0" collapsed="false">
      <c r="A49" s="2" t="s">
        <v>245</v>
      </c>
      <c r="B49" s="3" t="s">
        <v>217</v>
      </c>
      <c r="C49" s="3" t="s">
        <v>246</v>
      </c>
      <c r="D49" s="3" t="s">
        <v>247</v>
      </c>
      <c r="E49" s="3" t="s">
        <v>248</v>
      </c>
      <c r="F49" s="2" t="s">
        <v>47</v>
      </c>
      <c r="G49" s="2" t="s">
        <v>16</v>
      </c>
      <c r="H49" s="2" t="s">
        <v>48</v>
      </c>
      <c r="I49" s="2" t="s">
        <v>70</v>
      </c>
      <c r="J49" s="3"/>
    </row>
    <row r="50" customFormat="false" ht="48" hidden="false" customHeight="true" outlineLevel="0" collapsed="false">
      <c r="A50" s="2" t="s">
        <v>249</v>
      </c>
      <c r="B50" s="3" t="s">
        <v>217</v>
      </c>
      <c r="C50" s="3" t="s">
        <v>250</v>
      </c>
      <c r="D50" s="3" t="s">
        <v>251</v>
      </c>
      <c r="E50" s="3" t="s">
        <v>252</v>
      </c>
      <c r="F50" s="2" t="s">
        <v>47</v>
      </c>
      <c r="G50" s="2" t="s">
        <v>38</v>
      </c>
      <c r="H50" s="2" t="s">
        <v>48</v>
      </c>
      <c r="I50" s="2" t="s">
        <v>135</v>
      </c>
      <c r="J50" s="3"/>
    </row>
    <row r="51" customFormat="false" ht="48" hidden="false" customHeight="true" outlineLevel="0" collapsed="false">
      <c r="A51" s="2" t="s">
        <v>253</v>
      </c>
      <c r="B51" s="3" t="s">
        <v>217</v>
      </c>
      <c r="C51" s="3" t="s">
        <v>254</v>
      </c>
      <c r="D51" s="3" t="s">
        <v>255</v>
      </c>
      <c r="E51" s="3" t="s">
        <v>256</v>
      </c>
      <c r="F51" s="2" t="s">
        <v>55</v>
      </c>
      <c r="G51" s="2" t="s">
        <v>38</v>
      </c>
      <c r="H51" s="2" t="s">
        <v>48</v>
      </c>
      <c r="I51" s="2" t="s">
        <v>49</v>
      </c>
      <c r="J51" s="3"/>
    </row>
    <row r="52" customFormat="false" ht="48" hidden="false" customHeight="true" outlineLevel="0" collapsed="false">
      <c r="A52" s="2" t="s">
        <v>257</v>
      </c>
      <c r="B52" s="3" t="s">
        <v>217</v>
      </c>
      <c r="C52" s="3" t="s">
        <v>258</v>
      </c>
      <c r="D52" s="3" t="s">
        <v>259</v>
      </c>
      <c r="E52" s="3" t="s">
        <v>260</v>
      </c>
      <c r="F52" s="2" t="s">
        <v>55</v>
      </c>
      <c r="G52" s="2" t="s">
        <v>16</v>
      </c>
      <c r="H52" s="2" t="s">
        <v>48</v>
      </c>
      <c r="I52" s="2" t="s">
        <v>49</v>
      </c>
      <c r="J52" s="3"/>
    </row>
    <row r="53" customFormat="false" ht="48" hidden="false" customHeight="true" outlineLevel="0" collapsed="false">
      <c r="A53" s="2" t="s">
        <v>261</v>
      </c>
      <c r="B53" s="3" t="s">
        <v>262</v>
      </c>
      <c r="C53" s="3" t="s">
        <v>263</v>
      </c>
      <c r="D53" s="3" t="s">
        <v>264</v>
      </c>
      <c r="E53" s="3" t="s">
        <v>265</v>
      </c>
      <c r="F53" s="2" t="s">
        <v>15</v>
      </c>
      <c r="G53" s="2" t="s">
        <v>16</v>
      </c>
      <c r="H53" s="2" t="s">
        <v>266</v>
      </c>
      <c r="I53" s="2" t="s">
        <v>49</v>
      </c>
      <c r="J53" s="3" t="s">
        <v>267</v>
      </c>
    </row>
    <row r="54" customFormat="false" ht="48" hidden="false" customHeight="true" outlineLevel="0" collapsed="false">
      <c r="A54" s="2" t="s">
        <v>268</v>
      </c>
      <c r="B54" s="3" t="s">
        <v>262</v>
      </c>
      <c r="C54" s="3" t="s">
        <v>269</v>
      </c>
      <c r="D54" s="3" t="s">
        <v>270</v>
      </c>
      <c r="E54" s="3" t="s">
        <v>271</v>
      </c>
      <c r="F54" s="2" t="s">
        <v>15</v>
      </c>
      <c r="G54" s="2" t="s">
        <v>16</v>
      </c>
      <c r="H54" s="2" t="s">
        <v>48</v>
      </c>
      <c r="I54" s="2" t="s">
        <v>238</v>
      </c>
      <c r="J54" s="3"/>
    </row>
    <row r="55" customFormat="false" ht="48" hidden="false" customHeight="true" outlineLevel="0" collapsed="false">
      <c r="A55" s="2" t="s">
        <v>272</v>
      </c>
      <c r="B55" s="3" t="s">
        <v>262</v>
      </c>
      <c r="C55" s="3" t="s">
        <v>273</v>
      </c>
      <c r="D55" s="3" t="s">
        <v>274</v>
      </c>
      <c r="E55" s="3" t="s">
        <v>275</v>
      </c>
      <c r="F55" s="2" t="s">
        <v>15</v>
      </c>
      <c r="G55" s="2" t="s">
        <v>28</v>
      </c>
      <c r="H55" s="2" t="s">
        <v>48</v>
      </c>
      <c r="I55" s="2" t="s">
        <v>49</v>
      </c>
      <c r="J55" s="3" t="s">
        <v>276</v>
      </c>
    </row>
    <row r="56" customFormat="false" ht="48" hidden="false" customHeight="true" outlineLevel="0" collapsed="false">
      <c r="A56" s="2" t="s">
        <v>277</v>
      </c>
      <c r="B56" s="3" t="s">
        <v>262</v>
      </c>
      <c r="C56" s="3" t="s">
        <v>278</v>
      </c>
      <c r="D56" s="3" t="s">
        <v>279</v>
      </c>
      <c r="E56" s="3" t="s">
        <v>280</v>
      </c>
      <c r="F56" s="2" t="s">
        <v>15</v>
      </c>
      <c r="G56" s="2" t="s">
        <v>28</v>
      </c>
      <c r="H56" s="2" t="s">
        <v>48</v>
      </c>
      <c r="I56" s="2" t="s">
        <v>49</v>
      </c>
      <c r="J56" s="3"/>
    </row>
    <row r="57" customFormat="false" ht="48" hidden="false" customHeight="true" outlineLevel="0" collapsed="false">
      <c r="A57" s="2" t="s">
        <v>281</v>
      </c>
      <c r="B57" s="3" t="s">
        <v>262</v>
      </c>
      <c r="C57" s="3" t="s">
        <v>282</v>
      </c>
      <c r="D57" s="3" t="s">
        <v>283</v>
      </c>
      <c r="E57" s="3" t="s">
        <v>284</v>
      </c>
      <c r="F57" s="2" t="s">
        <v>15</v>
      </c>
      <c r="G57" s="2" t="s">
        <v>16</v>
      </c>
      <c r="H57" s="2" t="s">
        <v>48</v>
      </c>
      <c r="I57" s="2" t="s">
        <v>49</v>
      </c>
      <c r="J57" s="3"/>
    </row>
    <row r="58" customFormat="false" ht="48" hidden="false" customHeight="true" outlineLevel="0" collapsed="false">
      <c r="A58" s="2" t="s">
        <v>285</v>
      </c>
      <c r="B58" s="3" t="s">
        <v>262</v>
      </c>
      <c r="C58" s="3" t="s">
        <v>286</v>
      </c>
      <c r="D58" s="3" t="s">
        <v>287</v>
      </c>
      <c r="E58" s="3" t="s">
        <v>288</v>
      </c>
      <c r="F58" s="2" t="s">
        <v>15</v>
      </c>
      <c r="G58" s="2" t="s">
        <v>16</v>
      </c>
      <c r="H58" s="2" t="s">
        <v>48</v>
      </c>
      <c r="I58" s="2" t="s">
        <v>49</v>
      </c>
      <c r="J58" s="3"/>
    </row>
    <row r="59" customFormat="false" ht="48" hidden="false" customHeight="true" outlineLevel="0" collapsed="false">
      <c r="A59" s="2" t="s">
        <v>289</v>
      </c>
      <c r="B59" s="3" t="s">
        <v>262</v>
      </c>
      <c r="C59" s="3" t="s">
        <v>290</v>
      </c>
      <c r="D59" s="3" t="s">
        <v>291</v>
      </c>
      <c r="E59" s="3" t="s">
        <v>292</v>
      </c>
      <c r="F59" s="2" t="s">
        <v>55</v>
      </c>
      <c r="G59" s="2" t="s">
        <v>63</v>
      </c>
      <c r="H59" s="2" t="s">
        <v>48</v>
      </c>
      <c r="I59" s="2" t="s">
        <v>70</v>
      </c>
      <c r="J59" s="3"/>
    </row>
    <row r="60" customFormat="false" ht="48" hidden="false" customHeight="true" outlineLevel="0" collapsed="false">
      <c r="A60" s="2" t="s">
        <v>293</v>
      </c>
      <c r="B60" s="3" t="s">
        <v>262</v>
      </c>
      <c r="C60" s="3" t="s">
        <v>294</v>
      </c>
      <c r="D60" s="3" t="s">
        <v>295</v>
      </c>
      <c r="E60" s="3" t="s">
        <v>296</v>
      </c>
      <c r="F60" s="2" t="s">
        <v>55</v>
      </c>
      <c r="G60" s="2" t="s">
        <v>16</v>
      </c>
      <c r="H60" s="2" t="s">
        <v>48</v>
      </c>
      <c r="I60" s="2" t="s">
        <v>70</v>
      </c>
      <c r="J60" s="3"/>
    </row>
    <row r="61" customFormat="false" ht="48" hidden="false" customHeight="true" outlineLevel="0" collapsed="false">
      <c r="A61" s="2" t="s">
        <v>297</v>
      </c>
      <c r="B61" s="3" t="s">
        <v>262</v>
      </c>
      <c r="C61" s="3" t="s">
        <v>298</v>
      </c>
      <c r="D61" s="3" t="s">
        <v>299</v>
      </c>
      <c r="E61" s="3" t="s">
        <v>300</v>
      </c>
      <c r="F61" s="2" t="s">
        <v>47</v>
      </c>
      <c r="G61" s="2" t="s">
        <v>38</v>
      </c>
      <c r="H61" s="2" t="s">
        <v>48</v>
      </c>
      <c r="I61" s="2" t="s">
        <v>70</v>
      </c>
      <c r="J61" s="3"/>
    </row>
    <row r="62" customFormat="false" ht="48" hidden="false" customHeight="true" outlineLevel="0" collapsed="false">
      <c r="A62" s="2" t="s">
        <v>301</v>
      </c>
      <c r="B62" s="3" t="s">
        <v>262</v>
      </c>
      <c r="C62" s="3" t="s">
        <v>302</v>
      </c>
      <c r="D62" s="3" t="s">
        <v>303</v>
      </c>
      <c r="E62" s="3" t="s">
        <v>304</v>
      </c>
      <c r="F62" s="2" t="s">
        <v>47</v>
      </c>
      <c r="G62" s="2" t="s">
        <v>16</v>
      </c>
      <c r="H62" s="2" t="s">
        <v>48</v>
      </c>
      <c r="I62" s="2" t="s">
        <v>135</v>
      </c>
      <c r="J62" s="3"/>
    </row>
    <row r="63" customFormat="false" ht="48" hidden="false" customHeight="true" outlineLevel="0" collapsed="false">
      <c r="A63" s="2" t="s">
        <v>305</v>
      </c>
      <c r="B63" s="3" t="s">
        <v>306</v>
      </c>
      <c r="C63" s="3" t="s">
        <v>307</v>
      </c>
      <c r="D63" s="3" t="s">
        <v>308</v>
      </c>
      <c r="E63" s="3" t="s">
        <v>309</v>
      </c>
      <c r="F63" s="2" t="s">
        <v>15</v>
      </c>
      <c r="G63" s="2" t="s">
        <v>16</v>
      </c>
      <c r="H63" s="2" t="s">
        <v>48</v>
      </c>
      <c r="I63" s="2" t="s">
        <v>238</v>
      </c>
      <c r="J63" s="3" t="s">
        <v>310</v>
      </c>
    </row>
    <row r="64" customFormat="false" ht="48" hidden="false" customHeight="true" outlineLevel="0" collapsed="false">
      <c r="A64" s="2" t="s">
        <v>311</v>
      </c>
      <c r="B64" s="3" t="s">
        <v>306</v>
      </c>
      <c r="C64" s="3" t="s">
        <v>312</v>
      </c>
      <c r="D64" s="3" t="s">
        <v>313</v>
      </c>
      <c r="E64" s="3" t="s">
        <v>314</v>
      </c>
      <c r="F64" s="2" t="s">
        <v>15</v>
      </c>
      <c r="G64" s="2" t="s">
        <v>16</v>
      </c>
      <c r="H64" s="2" t="s">
        <v>48</v>
      </c>
      <c r="I64" s="2" t="s">
        <v>238</v>
      </c>
      <c r="J64" s="3"/>
    </row>
    <row r="65" customFormat="false" ht="48" hidden="false" customHeight="true" outlineLevel="0" collapsed="false">
      <c r="A65" s="2" t="s">
        <v>315</v>
      </c>
      <c r="B65" s="3" t="s">
        <v>306</v>
      </c>
      <c r="C65" s="3" t="s">
        <v>316</v>
      </c>
      <c r="D65" s="3" t="s">
        <v>317</v>
      </c>
      <c r="E65" s="3" t="s">
        <v>318</v>
      </c>
      <c r="F65" s="2" t="s">
        <v>15</v>
      </c>
      <c r="G65" s="2" t="s">
        <v>38</v>
      </c>
      <c r="H65" s="2" t="s">
        <v>48</v>
      </c>
      <c r="I65" s="2" t="s">
        <v>238</v>
      </c>
      <c r="J65" s="3"/>
    </row>
    <row r="66" customFormat="false" ht="48" hidden="false" customHeight="true" outlineLevel="0" collapsed="false">
      <c r="A66" s="2" t="s">
        <v>319</v>
      </c>
      <c r="B66" s="3" t="s">
        <v>306</v>
      </c>
      <c r="C66" s="3" t="s">
        <v>320</v>
      </c>
      <c r="D66" s="3" t="s">
        <v>321</v>
      </c>
      <c r="E66" s="3" t="s">
        <v>322</v>
      </c>
      <c r="F66" s="2" t="s">
        <v>15</v>
      </c>
      <c r="G66" s="2" t="s">
        <v>16</v>
      </c>
      <c r="H66" s="2" t="s">
        <v>48</v>
      </c>
      <c r="I66" s="2" t="s">
        <v>238</v>
      </c>
      <c r="J66" s="3" t="s">
        <v>323</v>
      </c>
    </row>
    <row r="67" customFormat="false" ht="48" hidden="false" customHeight="true" outlineLevel="0" collapsed="false">
      <c r="A67" s="2" t="s">
        <v>324</v>
      </c>
      <c r="B67" s="3" t="s">
        <v>306</v>
      </c>
      <c r="C67" s="3" t="s">
        <v>325</v>
      </c>
      <c r="D67" s="3" t="s">
        <v>326</v>
      </c>
      <c r="E67" s="3" t="s">
        <v>327</v>
      </c>
      <c r="F67" s="2" t="s">
        <v>55</v>
      </c>
      <c r="G67" s="2" t="s">
        <v>16</v>
      </c>
      <c r="H67" s="2" t="s">
        <v>48</v>
      </c>
      <c r="I67" s="2" t="s">
        <v>238</v>
      </c>
      <c r="J67" s="3"/>
    </row>
    <row r="68" customFormat="false" ht="48" hidden="false" customHeight="true" outlineLevel="0" collapsed="false">
      <c r="A68" s="2" t="s">
        <v>328</v>
      </c>
      <c r="B68" s="3" t="s">
        <v>306</v>
      </c>
      <c r="C68" s="3" t="s">
        <v>329</v>
      </c>
      <c r="D68" s="3" t="s">
        <v>330</v>
      </c>
      <c r="E68" s="3" t="s">
        <v>331</v>
      </c>
      <c r="F68" s="2" t="s">
        <v>55</v>
      </c>
      <c r="G68" s="2" t="s">
        <v>16</v>
      </c>
      <c r="H68" s="2" t="s">
        <v>48</v>
      </c>
      <c r="I68" s="2" t="s">
        <v>70</v>
      </c>
      <c r="J68" s="3"/>
    </row>
    <row r="69" customFormat="false" ht="48" hidden="false" customHeight="true" outlineLevel="0" collapsed="false">
      <c r="A69" s="2" t="s">
        <v>332</v>
      </c>
      <c r="B69" s="3" t="s">
        <v>306</v>
      </c>
      <c r="C69" s="3" t="s">
        <v>333</v>
      </c>
      <c r="D69" s="3" t="s">
        <v>334</v>
      </c>
      <c r="E69" s="3" t="s">
        <v>335</v>
      </c>
      <c r="F69" s="2" t="s">
        <v>47</v>
      </c>
      <c r="G69" s="2" t="s">
        <v>16</v>
      </c>
      <c r="H69" s="2" t="s">
        <v>48</v>
      </c>
      <c r="I69" s="2" t="s">
        <v>135</v>
      </c>
      <c r="J69" s="3"/>
    </row>
    <row r="70" customFormat="false" ht="48" hidden="false" customHeight="true" outlineLevel="0" collapsed="false">
      <c r="A70" s="2" t="s">
        <v>336</v>
      </c>
      <c r="B70" s="3" t="s">
        <v>306</v>
      </c>
      <c r="C70" s="3" t="s">
        <v>337</v>
      </c>
      <c r="D70" s="3" t="s">
        <v>338</v>
      </c>
      <c r="E70" s="3" t="s">
        <v>339</v>
      </c>
      <c r="F70" s="2" t="s">
        <v>55</v>
      </c>
      <c r="G70" s="2" t="s">
        <v>16</v>
      </c>
      <c r="H70" s="2" t="s">
        <v>48</v>
      </c>
      <c r="I70" s="2" t="s">
        <v>70</v>
      </c>
      <c r="J70" s="3"/>
    </row>
    <row r="71" customFormat="false" ht="48" hidden="false" customHeight="true" outlineLevel="0" collapsed="false">
      <c r="A71" s="2" t="s">
        <v>340</v>
      </c>
      <c r="B71" s="3" t="s">
        <v>306</v>
      </c>
      <c r="C71" s="3" t="s">
        <v>341</v>
      </c>
      <c r="D71" s="3" t="s">
        <v>342</v>
      </c>
      <c r="E71" s="3" t="s">
        <v>343</v>
      </c>
      <c r="F71" s="2" t="s">
        <v>55</v>
      </c>
      <c r="G71" s="2" t="s">
        <v>38</v>
      </c>
      <c r="H71" s="2" t="s">
        <v>48</v>
      </c>
      <c r="I71" s="2" t="s">
        <v>238</v>
      </c>
      <c r="J71" s="3"/>
    </row>
    <row r="72" customFormat="false" ht="48" hidden="false" customHeight="true" outlineLevel="0" collapsed="false">
      <c r="A72" s="2" t="s">
        <v>344</v>
      </c>
      <c r="B72" s="3" t="s">
        <v>345</v>
      </c>
      <c r="C72" s="3" t="s">
        <v>346</v>
      </c>
      <c r="D72" s="3" t="s">
        <v>347</v>
      </c>
      <c r="E72" s="3" t="s">
        <v>348</v>
      </c>
      <c r="F72" s="2" t="s">
        <v>15</v>
      </c>
      <c r="G72" s="2" t="s">
        <v>16</v>
      </c>
      <c r="H72" s="2" t="s">
        <v>48</v>
      </c>
      <c r="I72" s="2" t="s">
        <v>238</v>
      </c>
      <c r="J72" s="3"/>
    </row>
    <row r="73" customFormat="false" ht="48" hidden="false" customHeight="true" outlineLevel="0" collapsed="false">
      <c r="A73" s="2" t="s">
        <v>349</v>
      </c>
      <c r="B73" s="3" t="s">
        <v>345</v>
      </c>
      <c r="C73" s="3" t="s">
        <v>350</v>
      </c>
      <c r="D73" s="3" t="s">
        <v>351</v>
      </c>
      <c r="E73" s="3" t="s">
        <v>352</v>
      </c>
      <c r="F73" s="2" t="s">
        <v>55</v>
      </c>
      <c r="G73" s="2" t="s">
        <v>28</v>
      </c>
      <c r="H73" s="2" t="s">
        <v>48</v>
      </c>
      <c r="I73" s="2" t="s">
        <v>70</v>
      </c>
      <c r="J73" s="3"/>
    </row>
    <row r="74" customFormat="false" ht="48" hidden="false" customHeight="true" outlineLevel="0" collapsed="false">
      <c r="A74" s="2" t="s">
        <v>353</v>
      </c>
      <c r="B74" s="3" t="s">
        <v>345</v>
      </c>
      <c r="C74" s="3" t="s">
        <v>354</v>
      </c>
      <c r="D74" s="3" t="s">
        <v>355</v>
      </c>
      <c r="E74" s="3" t="s">
        <v>356</v>
      </c>
      <c r="F74" s="2" t="s">
        <v>55</v>
      </c>
      <c r="G74" s="2" t="s">
        <v>16</v>
      </c>
      <c r="H74" s="2" t="s">
        <v>48</v>
      </c>
      <c r="I74" s="2" t="s">
        <v>70</v>
      </c>
      <c r="J74" s="3"/>
    </row>
    <row r="75" customFormat="false" ht="48" hidden="false" customHeight="true" outlineLevel="0" collapsed="false">
      <c r="A75" s="2" t="s">
        <v>357</v>
      </c>
      <c r="B75" s="3" t="s">
        <v>345</v>
      </c>
      <c r="C75" s="3" t="s">
        <v>358</v>
      </c>
      <c r="D75" s="3" t="s">
        <v>359</v>
      </c>
      <c r="E75" s="3" t="s">
        <v>360</v>
      </c>
      <c r="F75" s="2" t="s">
        <v>55</v>
      </c>
      <c r="G75" s="2" t="s">
        <v>38</v>
      </c>
      <c r="H75" s="2" t="s">
        <v>48</v>
      </c>
      <c r="I75" s="2" t="s">
        <v>70</v>
      </c>
      <c r="J75" s="3" t="s">
        <v>361</v>
      </c>
    </row>
    <row r="76" customFormat="false" ht="48" hidden="false" customHeight="true" outlineLevel="0" collapsed="false">
      <c r="A76" s="2" t="s">
        <v>362</v>
      </c>
      <c r="B76" s="3" t="s">
        <v>345</v>
      </c>
      <c r="C76" s="3" t="s">
        <v>363</v>
      </c>
      <c r="D76" s="3" t="s">
        <v>364</v>
      </c>
      <c r="E76" s="3" t="s">
        <v>365</v>
      </c>
      <c r="F76" s="2" t="s">
        <v>55</v>
      </c>
      <c r="G76" s="2" t="s">
        <v>28</v>
      </c>
      <c r="H76" s="2" t="s">
        <v>48</v>
      </c>
      <c r="I76" s="2" t="s">
        <v>135</v>
      </c>
      <c r="J76" s="3" t="s">
        <v>366</v>
      </c>
    </row>
    <row r="77" customFormat="false" ht="48" hidden="false" customHeight="true" outlineLevel="0" collapsed="false">
      <c r="A77" s="2" t="s">
        <v>367</v>
      </c>
      <c r="B77" s="3" t="s">
        <v>345</v>
      </c>
      <c r="C77" s="3" t="s">
        <v>368</v>
      </c>
      <c r="D77" s="3" t="s">
        <v>369</v>
      </c>
      <c r="E77" s="3" t="s">
        <v>370</v>
      </c>
      <c r="F77" s="2" t="s">
        <v>47</v>
      </c>
      <c r="G77" s="2" t="s">
        <v>16</v>
      </c>
      <c r="H77" s="2" t="s">
        <v>48</v>
      </c>
      <c r="I77" s="2" t="s">
        <v>135</v>
      </c>
      <c r="J77" s="3"/>
    </row>
    <row r="78" customFormat="false" ht="48" hidden="false" customHeight="true" outlineLevel="0" collapsed="false">
      <c r="A78" s="2" t="s">
        <v>371</v>
      </c>
      <c r="B78" s="3" t="s">
        <v>372</v>
      </c>
      <c r="C78" s="3" t="s">
        <v>373</v>
      </c>
      <c r="D78" s="3" t="s">
        <v>374</v>
      </c>
      <c r="E78" s="3" t="s">
        <v>375</v>
      </c>
      <c r="F78" s="2" t="s">
        <v>15</v>
      </c>
      <c r="G78" s="2" t="s">
        <v>16</v>
      </c>
      <c r="H78" s="2" t="s">
        <v>48</v>
      </c>
      <c r="I78" s="2" t="s">
        <v>238</v>
      </c>
      <c r="J78" s="3"/>
    </row>
    <row r="79" customFormat="false" ht="48" hidden="false" customHeight="true" outlineLevel="0" collapsed="false">
      <c r="A79" s="2" t="s">
        <v>376</v>
      </c>
      <c r="B79" s="3" t="s">
        <v>372</v>
      </c>
      <c r="C79" s="3" t="s">
        <v>377</v>
      </c>
      <c r="D79" s="3" t="s">
        <v>378</v>
      </c>
      <c r="E79" s="3" t="s">
        <v>379</v>
      </c>
      <c r="F79" s="2" t="s">
        <v>55</v>
      </c>
      <c r="G79" s="2" t="s">
        <v>38</v>
      </c>
      <c r="H79" s="2" t="s">
        <v>48</v>
      </c>
      <c r="I79" s="2" t="s">
        <v>70</v>
      </c>
      <c r="J79" s="3"/>
    </row>
    <row r="80" customFormat="false" ht="48" hidden="false" customHeight="true" outlineLevel="0" collapsed="false">
      <c r="A80" s="2" t="s">
        <v>380</v>
      </c>
      <c r="B80" s="3" t="s">
        <v>372</v>
      </c>
      <c r="C80" s="3" t="s">
        <v>381</v>
      </c>
      <c r="D80" s="3" t="s">
        <v>382</v>
      </c>
      <c r="E80" s="3" t="s">
        <v>383</v>
      </c>
      <c r="F80" s="2" t="s">
        <v>47</v>
      </c>
      <c r="G80" s="2" t="s">
        <v>28</v>
      </c>
      <c r="H80" s="2" t="s">
        <v>48</v>
      </c>
      <c r="I80" s="2" t="s">
        <v>135</v>
      </c>
      <c r="J80" s="3"/>
    </row>
    <row r="81" customFormat="false" ht="48" hidden="false" customHeight="true" outlineLevel="0" collapsed="false">
      <c r="A81" s="2" t="s">
        <v>384</v>
      </c>
      <c r="B81" s="3" t="s">
        <v>372</v>
      </c>
      <c r="C81" s="3" t="s">
        <v>385</v>
      </c>
      <c r="D81" s="3" t="s">
        <v>386</v>
      </c>
      <c r="E81" s="3" t="s">
        <v>387</v>
      </c>
      <c r="F81" s="2" t="s">
        <v>55</v>
      </c>
      <c r="G81" s="2" t="s">
        <v>16</v>
      </c>
      <c r="H81" s="2" t="s">
        <v>48</v>
      </c>
      <c r="I81" s="2" t="s">
        <v>70</v>
      </c>
      <c r="J81" s="3"/>
    </row>
    <row r="82" customFormat="false" ht="48" hidden="false" customHeight="true" outlineLevel="0" collapsed="false">
      <c r="A82" s="2" t="s">
        <v>388</v>
      </c>
      <c r="B82" s="3" t="s">
        <v>372</v>
      </c>
      <c r="C82" s="3" t="s">
        <v>389</v>
      </c>
      <c r="D82" s="3" t="s">
        <v>390</v>
      </c>
      <c r="E82" s="3" t="s">
        <v>391</v>
      </c>
      <c r="F82" s="2" t="s">
        <v>47</v>
      </c>
      <c r="G82" s="2" t="s">
        <v>16</v>
      </c>
      <c r="H82" s="2" t="s">
        <v>48</v>
      </c>
      <c r="I82" s="2" t="s">
        <v>135</v>
      </c>
      <c r="J82" s="3"/>
    </row>
    <row r="83" customFormat="false" ht="48" hidden="false" customHeight="true" outlineLevel="0" collapsed="false">
      <c r="A83" s="2" t="s">
        <v>392</v>
      </c>
      <c r="B83" s="3" t="s">
        <v>393</v>
      </c>
      <c r="C83" s="3" t="s">
        <v>394</v>
      </c>
      <c r="D83" s="3" t="s">
        <v>395</v>
      </c>
      <c r="E83" s="3" t="s">
        <v>396</v>
      </c>
      <c r="F83" s="2" t="s">
        <v>55</v>
      </c>
      <c r="G83" s="2" t="s">
        <v>16</v>
      </c>
      <c r="H83" s="2" t="s">
        <v>48</v>
      </c>
      <c r="I83" s="2" t="s">
        <v>70</v>
      </c>
      <c r="J83" s="3"/>
    </row>
    <row r="84" customFormat="false" ht="48" hidden="false" customHeight="true" outlineLevel="0" collapsed="false">
      <c r="A84" s="2" t="s">
        <v>397</v>
      </c>
      <c r="B84" s="3" t="s">
        <v>393</v>
      </c>
      <c r="C84" s="3" t="s">
        <v>398</v>
      </c>
      <c r="D84" s="3" t="s">
        <v>399</v>
      </c>
      <c r="E84" s="3" t="s">
        <v>400</v>
      </c>
      <c r="F84" s="2" t="s">
        <v>47</v>
      </c>
      <c r="G84" s="2" t="s">
        <v>38</v>
      </c>
      <c r="H84" s="2" t="s">
        <v>48</v>
      </c>
      <c r="I84" s="2" t="s">
        <v>70</v>
      </c>
      <c r="J84" s="3"/>
    </row>
    <row r="85" customFormat="false" ht="48" hidden="false" customHeight="true" outlineLevel="0" collapsed="false">
      <c r="A85" s="2" t="s">
        <v>401</v>
      </c>
      <c r="B85" s="3" t="s">
        <v>393</v>
      </c>
      <c r="C85" s="3" t="s">
        <v>402</v>
      </c>
      <c r="D85" s="3" t="s">
        <v>403</v>
      </c>
      <c r="E85" s="3" t="s">
        <v>404</v>
      </c>
      <c r="F85" s="2" t="s">
        <v>62</v>
      </c>
      <c r="G85" s="2" t="s">
        <v>28</v>
      </c>
      <c r="H85" s="2" t="s">
        <v>48</v>
      </c>
      <c r="I85" s="2" t="s">
        <v>64</v>
      </c>
      <c r="J85" s="3"/>
    </row>
    <row r="86" customFormat="false" ht="48" hidden="false" customHeight="true" outlineLevel="0" collapsed="false">
      <c r="A86" s="2" t="s">
        <v>405</v>
      </c>
      <c r="B86" s="3" t="s">
        <v>393</v>
      </c>
      <c r="C86" s="3" t="s">
        <v>406</v>
      </c>
      <c r="D86" s="3" t="s">
        <v>407</v>
      </c>
      <c r="E86" s="3" t="s">
        <v>408</v>
      </c>
      <c r="F86" s="2" t="s">
        <v>47</v>
      </c>
      <c r="G86" s="2" t="s">
        <v>38</v>
      </c>
      <c r="H86" s="2" t="s">
        <v>48</v>
      </c>
      <c r="I86" s="2" t="s">
        <v>135</v>
      </c>
      <c r="J86" s="3"/>
    </row>
    <row r="87" customFormat="false" ht="48" hidden="false" customHeight="true" outlineLevel="0" collapsed="false">
      <c r="A87" s="2" t="s">
        <v>409</v>
      </c>
      <c r="B87" s="3" t="s">
        <v>393</v>
      </c>
      <c r="C87" s="3" t="s">
        <v>410</v>
      </c>
      <c r="D87" s="3" t="s">
        <v>411</v>
      </c>
      <c r="E87" s="3" t="s">
        <v>412</v>
      </c>
      <c r="F87" s="2" t="s">
        <v>47</v>
      </c>
      <c r="G87" s="2" t="s">
        <v>16</v>
      </c>
      <c r="H87" s="2" t="s">
        <v>48</v>
      </c>
      <c r="I87" s="2" t="s">
        <v>135</v>
      </c>
      <c r="J87" s="3"/>
    </row>
    <row r="88" customFormat="false" ht="48" hidden="false" customHeight="true" outlineLevel="0" collapsed="false">
      <c r="A88" s="2" t="s">
        <v>413</v>
      </c>
      <c r="B88" s="3" t="s">
        <v>414</v>
      </c>
      <c r="C88" s="3" t="s">
        <v>415</v>
      </c>
      <c r="D88" s="3" t="s">
        <v>416</v>
      </c>
      <c r="E88" s="3" t="s">
        <v>417</v>
      </c>
      <c r="F88" s="2" t="s">
        <v>15</v>
      </c>
      <c r="G88" s="2" t="s">
        <v>16</v>
      </c>
      <c r="H88" s="2" t="s">
        <v>17</v>
      </c>
      <c r="I88" s="2" t="s">
        <v>18</v>
      </c>
      <c r="J88" s="3" t="s">
        <v>418</v>
      </c>
    </row>
    <row r="89" customFormat="false" ht="48" hidden="false" customHeight="true" outlineLevel="0" collapsed="false">
      <c r="A89" s="2" t="s">
        <v>419</v>
      </c>
      <c r="B89" s="3" t="s">
        <v>414</v>
      </c>
      <c r="C89" s="3" t="s">
        <v>420</v>
      </c>
      <c r="D89" s="3" t="s">
        <v>421</v>
      </c>
      <c r="E89" s="3" t="s">
        <v>422</v>
      </c>
      <c r="F89" s="2" t="s">
        <v>15</v>
      </c>
      <c r="G89" s="2" t="s">
        <v>38</v>
      </c>
      <c r="H89" s="2" t="s">
        <v>17</v>
      </c>
      <c r="I89" s="2" t="s">
        <v>18</v>
      </c>
      <c r="J89" s="3"/>
    </row>
    <row r="90" customFormat="false" ht="48" hidden="false" customHeight="true" outlineLevel="0" collapsed="false">
      <c r="A90" s="2" t="s">
        <v>423</v>
      </c>
      <c r="B90" s="3" t="s">
        <v>414</v>
      </c>
      <c r="C90" s="3" t="s">
        <v>424</v>
      </c>
      <c r="D90" s="3" t="s">
        <v>425</v>
      </c>
      <c r="E90" s="3" t="s">
        <v>426</v>
      </c>
      <c r="F90" s="2" t="s">
        <v>47</v>
      </c>
      <c r="G90" s="2" t="s">
        <v>16</v>
      </c>
      <c r="H90" s="2" t="s">
        <v>48</v>
      </c>
      <c r="I90" s="2" t="s">
        <v>135</v>
      </c>
      <c r="J90" s="3"/>
    </row>
    <row r="91" customFormat="false" ht="48" hidden="false" customHeight="true" outlineLevel="0" collapsed="false">
      <c r="A91" s="2" t="s">
        <v>427</v>
      </c>
      <c r="B91" s="3" t="s">
        <v>414</v>
      </c>
      <c r="C91" s="3" t="s">
        <v>428</v>
      </c>
      <c r="D91" s="3" t="s">
        <v>429</v>
      </c>
      <c r="E91" s="3" t="s">
        <v>430</v>
      </c>
      <c r="F91" s="2" t="s">
        <v>47</v>
      </c>
      <c r="G91" s="2" t="s">
        <v>16</v>
      </c>
      <c r="H91" s="2" t="s">
        <v>48</v>
      </c>
      <c r="I91" s="2" t="s">
        <v>135</v>
      </c>
      <c r="J91" s="3"/>
    </row>
    <row r="92" customFormat="false" ht="48" hidden="false" customHeight="true" outlineLevel="0" collapsed="false">
      <c r="A92" s="2" t="s">
        <v>431</v>
      </c>
      <c r="B92" s="3" t="s">
        <v>414</v>
      </c>
      <c r="C92" s="3" t="s">
        <v>432</v>
      </c>
      <c r="D92" s="3" t="s">
        <v>433</v>
      </c>
      <c r="E92" s="3" t="s">
        <v>434</v>
      </c>
      <c r="F92" s="2" t="s">
        <v>47</v>
      </c>
      <c r="G92" s="2" t="s">
        <v>28</v>
      </c>
      <c r="H92" s="2" t="s">
        <v>48</v>
      </c>
      <c r="I92" s="2" t="s">
        <v>435</v>
      </c>
      <c r="J92" s="3"/>
    </row>
    <row r="93" customFormat="false" ht="48" hidden="false" customHeight="true" outlineLevel="0" collapsed="false">
      <c r="A93" s="2" t="s">
        <v>436</v>
      </c>
      <c r="B93" s="3" t="s">
        <v>414</v>
      </c>
      <c r="C93" s="3" t="s">
        <v>437</v>
      </c>
      <c r="D93" s="3" t="s">
        <v>438</v>
      </c>
      <c r="E93" s="3" t="s">
        <v>439</v>
      </c>
      <c r="F93" s="2" t="s">
        <v>55</v>
      </c>
      <c r="G93" s="2" t="s">
        <v>16</v>
      </c>
      <c r="H93" s="2" t="s">
        <v>48</v>
      </c>
      <c r="I93" s="2" t="s">
        <v>70</v>
      </c>
      <c r="J93" s="3"/>
    </row>
    <row r="94" customFormat="false" ht="48" hidden="false" customHeight="true" outlineLevel="0" collapsed="false">
      <c r="A94" s="2" t="s">
        <v>440</v>
      </c>
      <c r="B94" s="3" t="s">
        <v>414</v>
      </c>
      <c r="C94" s="3" t="s">
        <v>441</v>
      </c>
      <c r="D94" s="3" t="s">
        <v>442</v>
      </c>
      <c r="E94" s="3" t="s">
        <v>443</v>
      </c>
      <c r="F94" s="2" t="s">
        <v>62</v>
      </c>
      <c r="G94" s="2" t="s">
        <v>28</v>
      </c>
      <c r="H94" s="2" t="s">
        <v>48</v>
      </c>
      <c r="I94" s="2" t="s">
        <v>64</v>
      </c>
      <c r="J94" s="3"/>
    </row>
    <row r="95" customFormat="false" ht="48" hidden="false" customHeight="true" outlineLevel="0" collapsed="false">
      <c r="A95" s="2" t="s">
        <v>444</v>
      </c>
      <c r="B95" s="3" t="s">
        <v>445</v>
      </c>
      <c r="C95" s="3" t="s">
        <v>446</v>
      </c>
      <c r="D95" s="3" t="s">
        <v>447</v>
      </c>
      <c r="E95" s="3" t="s">
        <v>448</v>
      </c>
      <c r="F95" s="2" t="s">
        <v>15</v>
      </c>
      <c r="G95" s="2" t="s">
        <v>38</v>
      </c>
      <c r="H95" s="2" t="s">
        <v>17</v>
      </c>
      <c r="I95" s="2" t="s">
        <v>18</v>
      </c>
      <c r="J95" s="3" t="s">
        <v>449</v>
      </c>
    </row>
    <row r="96" customFormat="false" ht="48" hidden="false" customHeight="true" outlineLevel="0" collapsed="false">
      <c r="A96" s="2" t="s">
        <v>450</v>
      </c>
      <c r="B96" s="3" t="s">
        <v>445</v>
      </c>
      <c r="C96" s="3" t="s">
        <v>451</v>
      </c>
      <c r="D96" s="3" t="s">
        <v>452</v>
      </c>
      <c r="E96" s="3" t="s">
        <v>453</v>
      </c>
      <c r="F96" s="2" t="s">
        <v>55</v>
      </c>
      <c r="G96" s="2" t="s">
        <v>28</v>
      </c>
      <c r="H96" s="2" t="s">
        <v>48</v>
      </c>
      <c r="I96" s="2" t="s">
        <v>70</v>
      </c>
      <c r="J96" s="3"/>
    </row>
    <row r="97" customFormat="false" ht="48" hidden="false" customHeight="true" outlineLevel="0" collapsed="false">
      <c r="A97" s="2" t="s">
        <v>454</v>
      </c>
      <c r="B97" s="3" t="s">
        <v>445</v>
      </c>
      <c r="C97" s="3" t="s">
        <v>455</v>
      </c>
      <c r="D97" s="3" t="s">
        <v>456</v>
      </c>
      <c r="E97" s="3" t="s">
        <v>457</v>
      </c>
      <c r="F97" s="2" t="s">
        <v>55</v>
      </c>
      <c r="G97" s="2" t="s">
        <v>16</v>
      </c>
      <c r="H97" s="2" t="s">
        <v>48</v>
      </c>
      <c r="I97" s="2" t="s">
        <v>70</v>
      </c>
      <c r="J97" s="3" t="s">
        <v>458</v>
      </c>
    </row>
    <row r="98" customFormat="false" ht="48" hidden="false" customHeight="true" outlineLevel="0" collapsed="false">
      <c r="A98" s="2" t="s">
        <v>459</v>
      </c>
      <c r="B98" s="3" t="s">
        <v>445</v>
      </c>
      <c r="C98" s="3" t="s">
        <v>460</v>
      </c>
      <c r="D98" s="3" t="s">
        <v>461</v>
      </c>
      <c r="E98" s="3" t="s">
        <v>462</v>
      </c>
      <c r="F98" s="2" t="s">
        <v>55</v>
      </c>
      <c r="G98" s="2" t="s">
        <v>28</v>
      </c>
      <c r="H98" s="2" t="s">
        <v>48</v>
      </c>
      <c r="I98" s="2" t="s">
        <v>135</v>
      </c>
      <c r="J98" s="3"/>
    </row>
    <row r="99" customFormat="false" ht="48" hidden="false" customHeight="true" outlineLevel="0" collapsed="false">
      <c r="A99" s="2" t="s">
        <v>463</v>
      </c>
      <c r="B99" s="3" t="s">
        <v>445</v>
      </c>
      <c r="C99" s="3" t="s">
        <v>464</v>
      </c>
      <c r="D99" s="3" t="s">
        <v>465</v>
      </c>
      <c r="E99" s="3" t="s">
        <v>466</v>
      </c>
      <c r="F99" s="2" t="s">
        <v>47</v>
      </c>
      <c r="G99" s="2" t="s">
        <v>16</v>
      </c>
      <c r="H99" s="2" t="s">
        <v>48</v>
      </c>
      <c r="I99" s="2" t="s">
        <v>135</v>
      </c>
      <c r="J99" s="3"/>
    </row>
    <row r="100" customFormat="false" ht="48" hidden="false" customHeight="true" outlineLevel="0" collapsed="false">
      <c r="A100" s="2" t="s">
        <v>467</v>
      </c>
      <c r="B100" s="3" t="s">
        <v>445</v>
      </c>
      <c r="C100" s="3" t="s">
        <v>468</v>
      </c>
      <c r="D100" s="3" t="s">
        <v>469</v>
      </c>
      <c r="E100" s="3" t="s">
        <v>470</v>
      </c>
      <c r="F100" s="2" t="s">
        <v>55</v>
      </c>
      <c r="G100" s="2" t="s">
        <v>16</v>
      </c>
      <c r="H100" s="2" t="s">
        <v>48</v>
      </c>
      <c r="I100" s="2" t="s">
        <v>135</v>
      </c>
      <c r="J100" s="3"/>
    </row>
    <row r="101" customFormat="false" ht="48" hidden="false" customHeight="true" outlineLevel="0" collapsed="false">
      <c r="A101" s="2" t="s">
        <v>471</v>
      </c>
      <c r="B101" s="3" t="s">
        <v>445</v>
      </c>
      <c r="C101" s="3" t="s">
        <v>472</v>
      </c>
      <c r="D101" s="3" t="s">
        <v>473</v>
      </c>
      <c r="E101" s="3" t="s">
        <v>474</v>
      </c>
      <c r="F101" s="2" t="s">
        <v>62</v>
      </c>
      <c r="G101" s="2" t="s">
        <v>28</v>
      </c>
      <c r="H101" s="2" t="s">
        <v>48</v>
      </c>
      <c r="I101" s="2" t="s">
        <v>64</v>
      </c>
      <c r="J101" s="3"/>
    </row>
    <row r="102" customFormat="false" ht="48" hidden="false" customHeight="true" outlineLevel="0" collapsed="false">
      <c r="A102" s="2" t="s">
        <v>475</v>
      </c>
      <c r="B102" s="3" t="s">
        <v>445</v>
      </c>
      <c r="C102" s="3" t="s">
        <v>476</v>
      </c>
      <c r="D102" s="3" t="s">
        <v>477</v>
      </c>
      <c r="E102" s="3" t="s">
        <v>478</v>
      </c>
      <c r="F102" s="2" t="s">
        <v>55</v>
      </c>
      <c r="G102" s="2" t="s">
        <v>38</v>
      </c>
      <c r="H102" s="2" t="s">
        <v>48</v>
      </c>
      <c r="I102" s="2" t="s">
        <v>70</v>
      </c>
      <c r="J102" s="3"/>
    </row>
    <row r="103" customFormat="false" ht="48" hidden="false" customHeight="true" outlineLevel="0" collapsed="false">
      <c r="A103" s="2" t="s">
        <v>479</v>
      </c>
      <c r="B103" s="3" t="s">
        <v>480</v>
      </c>
      <c r="C103" s="3" t="s">
        <v>481</v>
      </c>
      <c r="D103" s="3" t="s">
        <v>482</v>
      </c>
      <c r="E103" s="3" t="s">
        <v>483</v>
      </c>
      <c r="F103" s="2" t="s">
        <v>15</v>
      </c>
      <c r="G103" s="2" t="s">
        <v>38</v>
      </c>
      <c r="H103" s="2" t="s">
        <v>17</v>
      </c>
      <c r="I103" s="2" t="s">
        <v>18</v>
      </c>
      <c r="J103" s="3" t="s">
        <v>484</v>
      </c>
    </row>
    <row r="104" customFormat="false" ht="48" hidden="false" customHeight="true" outlineLevel="0" collapsed="false">
      <c r="A104" s="2" t="s">
        <v>485</v>
      </c>
      <c r="B104" s="3" t="s">
        <v>480</v>
      </c>
      <c r="C104" s="3" t="s">
        <v>486</v>
      </c>
      <c r="D104" s="3" t="s">
        <v>487</v>
      </c>
      <c r="E104" s="3" t="s">
        <v>488</v>
      </c>
      <c r="F104" s="2" t="s">
        <v>15</v>
      </c>
      <c r="G104" s="2" t="s">
        <v>38</v>
      </c>
      <c r="H104" s="2" t="s">
        <v>17</v>
      </c>
      <c r="I104" s="2" t="s">
        <v>18</v>
      </c>
      <c r="J104" s="3"/>
    </row>
    <row r="105" customFormat="false" ht="48" hidden="false" customHeight="true" outlineLevel="0" collapsed="false">
      <c r="A105" s="2" t="s">
        <v>489</v>
      </c>
      <c r="B105" s="3" t="s">
        <v>480</v>
      </c>
      <c r="C105" s="3" t="s">
        <v>490</v>
      </c>
      <c r="D105" s="3" t="s">
        <v>491</v>
      </c>
      <c r="E105" s="3" t="s">
        <v>492</v>
      </c>
      <c r="F105" s="2" t="s">
        <v>15</v>
      </c>
      <c r="G105" s="2" t="s">
        <v>16</v>
      </c>
      <c r="H105" s="2" t="s">
        <v>48</v>
      </c>
      <c r="I105" s="2" t="s">
        <v>135</v>
      </c>
      <c r="J105" s="3" t="s">
        <v>493</v>
      </c>
    </row>
    <row r="106" customFormat="false" ht="48" hidden="false" customHeight="true" outlineLevel="0" collapsed="false">
      <c r="A106" s="2" t="s">
        <v>494</v>
      </c>
      <c r="B106" s="3" t="s">
        <v>480</v>
      </c>
      <c r="C106" s="3" t="s">
        <v>495</v>
      </c>
      <c r="D106" s="3" t="s">
        <v>496</v>
      </c>
      <c r="E106" s="3" t="s">
        <v>497</v>
      </c>
      <c r="F106" s="2" t="s">
        <v>55</v>
      </c>
      <c r="G106" s="2" t="s">
        <v>38</v>
      </c>
      <c r="H106" s="2" t="s">
        <v>48</v>
      </c>
      <c r="I106" s="2" t="s">
        <v>135</v>
      </c>
      <c r="J106" s="3"/>
    </row>
    <row r="107" customFormat="false" ht="48" hidden="false" customHeight="true" outlineLevel="0" collapsed="false">
      <c r="A107" s="2" t="s">
        <v>498</v>
      </c>
      <c r="B107" s="3" t="s">
        <v>480</v>
      </c>
      <c r="C107" s="3" t="s">
        <v>499</v>
      </c>
      <c r="D107" s="3" t="s">
        <v>500</v>
      </c>
      <c r="E107" s="3" t="s">
        <v>501</v>
      </c>
      <c r="F107" s="2" t="s">
        <v>55</v>
      </c>
      <c r="G107" s="2" t="s">
        <v>38</v>
      </c>
      <c r="H107" s="2" t="s">
        <v>48</v>
      </c>
      <c r="I107" s="2" t="s">
        <v>70</v>
      </c>
      <c r="J107" s="3"/>
    </row>
    <row r="108" customFormat="false" ht="48" hidden="false" customHeight="true" outlineLevel="0" collapsed="false">
      <c r="A108" s="2" t="s">
        <v>502</v>
      </c>
      <c r="B108" s="3" t="s">
        <v>480</v>
      </c>
      <c r="C108" s="3" t="s">
        <v>503</v>
      </c>
      <c r="D108" s="3" t="s">
        <v>504</v>
      </c>
      <c r="E108" s="3" t="s">
        <v>505</v>
      </c>
      <c r="F108" s="2" t="s">
        <v>47</v>
      </c>
      <c r="G108" s="2" t="s">
        <v>16</v>
      </c>
      <c r="H108" s="2" t="s">
        <v>48</v>
      </c>
      <c r="I108" s="2" t="s">
        <v>64</v>
      </c>
      <c r="J108" s="3"/>
    </row>
    <row r="109" customFormat="false" ht="48" hidden="false" customHeight="true" outlineLevel="0" collapsed="false">
      <c r="A109" s="2" t="s">
        <v>506</v>
      </c>
      <c r="B109" s="3" t="s">
        <v>480</v>
      </c>
      <c r="C109" s="3" t="s">
        <v>507</v>
      </c>
      <c r="D109" s="3" t="s">
        <v>508</v>
      </c>
      <c r="E109" s="3" t="s">
        <v>509</v>
      </c>
      <c r="F109" s="2" t="s">
        <v>47</v>
      </c>
      <c r="G109" s="2" t="s">
        <v>28</v>
      </c>
      <c r="H109" s="2" t="s">
        <v>48</v>
      </c>
      <c r="I109" s="2" t="s">
        <v>64</v>
      </c>
      <c r="J109" s="3" t="s">
        <v>510</v>
      </c>
    </row>
    <row r="110" customFormat="false" ht="48" hidden="false" customHeight="true" outlineLevel="0" collapsed="false">
      <c r="A110" s="2" t="s">
        <v>511</v>
      </c>
      <c r="B110" s="3" t="s">
        <v>480</v>
      </c>
      <c r="C110" s="3" t="s">
        <v>512</v>
      </c>
      <c r="D110" s="3" t="s">
        <v>513</v>
      </c>
      <c r="E110" s="3" t="s">
        <v>514</v>
      </c>
      <c r="F110" s="2" t="s">
        <v>47</v>
      </c>
      <c r="G110" s="2" t="s">
        <v>38</v>
      </c>
      <c r="H110" s="2" t="s">
        <v>48</v>
      </c>
      <c r="I110" s="2" t="s">
        <v>435</v>
      </c>
      <c r="J110" s="3"/>
    </row>
    <row r="111" customFormat="false" ht="48" hidden="false" customHeight="true" outlineLevel="0" collapsed="false">
      <c r="A111" s="2" t="s">
        <v>515</v>
      </c>
      <c r="B111" s="3" t="s">
        <v>516</v>
      </c>
      <c r="C111" s="3" t="s">
        <v>517</v>
      </c>
      <c r="D111" s="3" t="s">
        <v>518</v>
      </c>
      <c r="E111" s="3" t="s">
        <v>519</v>
      </c>
      <c r="F111" s="2" t="s">
        <v>55</v>
      </c>
      <c r="G111" s="2" t="s">
        <v>28</v>
      </c>
      <c r="H111" s="2" t="s">
        <v>48</v>
      </c>
      <c r="I111" s="2" t="s">
        <v>70</v>
      </c>
      <c r="J111" s="3"/>
    </row>
    <row r="112" customFormat="false" ht="48" hidden="false" customHeight="true" outlineLevel="0" collapsed="false">
      <c r="A112" s="2" t="s">
        <v>520</v>
      </c>
      <c r="B112" s="3" t="s">
        <v>516</v>
      </c>
      <c r="C112" s="3" t="s">
        <v>521</v>
      </c>
      <c r="D112" s="3" t="s">
        <v>522</v>
      </c>
      <c r="E112" s="3" t="s">
        <v>523</v>
      </c>
      <c r="F112" s="2" t="s">
        <v>47</v>
      </c>
      <c r="G112" s="2" t="s">
        <v>28</v>
      </c>
      <c r="H112" s="2" t="s">
        <v>48</v>
      </c>
      <c r="I112" s="2" t="s">
        <v>135</v>
      </c>
      <c r="J112" s="3"/>
    </row>
    <row r="113" customFormat="false" ht="48" hidden="false" customHeight="true" outlineLevel="0" collapsed="false">
      <c r="A113" s="2" t="s">
        <v>524</v>
      </c>
      <c r="B113" s="3" t="s">
        <v>516</v>
      </c>
      <c r="C113" s="3" t="s">
        <v>525</v>
      </c>
      <c r="D113" s="3" t="s">
        <v>526</v>
      </c>
      <c r="E113" s="3" t="s">
        <v>527</v>
      </c>
      <c r="F113" s="2" t="s">
        <v>47</v>
      </c>
      <c r="G113" s="2" t="s">
        <v>28</v>
      </c>
      <c r="H113" s="2" t="s">
        <v>48</v>
      </c>
      <c r="I113" s="2" t="s">
        <v>135</v>
      </c>
      <c r="J113" s="3"/>
    </row>
    <row r="114" customFormat="false" ht="48" hidden="false" customHeight="true" outlineLevel="0" collapsed="false">
      <c r="A114" s="2" t="s">
        <v>528</v>
      </c>
      <c r="B114" s="3" t="s">
        <v>516</v>
      </c>
      <c r="C114" s="3" t="s">
        <v>529</v>
      </c>
      <c r="D114" s="3" t="s">
        <v>530</v>
      </c>
      <c r="E114" s="3" t="s">
        <v>531</v>
      </c>
      <c r="F114" s="2" t="s">
        <v>47</v>
      </c>
      <c r="G114" s="2" t="s">
        <v>16</v>
      </c>
      <c r="H114" s="2" t="s">
        <v>48</v>
      </c>
      <c r="I114" s="2" t="s">
        <v>135</v>
      </c>
      <c r="J114" s="3"/>
    </row>
    <row r="115" customFormat="false" ht="48" hidden="false" customHeight="true" outlineLevel="0" collapsed="false">
      <c r="A115" s="2" t="s">
        <v>532</v>
      </c>
      <c r="B115" s="3" t="s">
        <v>516</v>
      </c>
      <c r="C115" s="3" t="s">
        <v>533</v>
      </c>
      <c r="D115" s="3" t="s">
        <v>534</v>
      </c>
      <c r="E115" s="3" t="s">
        <v>535</v>
      </c>
      <c r="F115" s="2" t="s">
        <v>47</v>
      </c>
      <c r="G115" s="2" t="s">
        <v>16</v>
      </c>
      <c r="H115" s="2" t="s">
        <v>48</v>
      </c>
      <c r="I115" s="2" t="s">
        <v>135</v>
      </c>
      <c r="J115" s="3"/>
    </row>
    <row r="116" customFormat="false" ht="48" hidden="false" customHeight="true" outlineLevel="0" collapsed="false">
      <c r="A116" s="2" t="s">
        <v>536</v>
      </c>
      <c r="B116" s="3" t="s">
        <v>516</v>
      </c>
      <c r="C116" s="3" t="s">
        <v>537</v>
      </c>
      <c r="D116" s="3" t="s">
        <v>538</v>
      </c>
      <c r="E116" s="3" t="s">
        <v>539</v>
      </c>
      <c r="F116" s="2" t="s">
        <v>47</v>
      </c>
      <c r="G116" s="2" t="s">
        <v>16</v>
      </c>
      <c r="H116" s="2" t="s">
        <v>48</v>
      </c>
      <c r="I116" s="2" t="s">
        <v>135</v>
      </c>
      <c r="J116" s="3"/>
    </row>
    <row r="117" customFormat="false" ht="48" hidden="false" customHeight="true" outlineLevel="0" collapsed="false">
      <c r="A117" s="2" t="s">
        <v>540</v>
      </c>
      <c r="B117" s="3" t="s">
        <v>541</v>
      </c>
      <c r="C117" s="3" t="s">
        <v>542</v>
      </c>
      <c r="D117" s="3" t="s">
        <v>543</v>
      </c>
      <c r="E117" s="3" t="s">
        <v>544</v>
      </c>
      <c r="F117" s="2" t="s">
        <v>15</v>
      </c>
      <c r="G117" s="2" t="s">
        <v>16</v>
      </c>
      <c r="H117" s="2" t="s">
        <v>17</v>
      </c>
      <c r="I117" s="2" t="s">
        <v>18</v>
      </c>
      <c r="J117" s="3"/>
    </row>
    <row r="118" customFormat="false" ht="48" hidden="false" customHeight="true" outlineLevel="0" collapsed="false">
      <c r="A118" s="2" t="s">
        <v>545</v>
      </c>
      <c r="B118" s="3" t="s">
        <v>541</v>
      </c>
      <c r="C118" s="3" t="s">
        <v>546</v>
      </c>
      <c r="D118" s="3" t="s">
        <v>547</v>
      </c>
      <c r="E118" s="3" t="s">
        <v>548</v>
      </c>
      <c r="F118" s="2" t="s">
        <v>15</v>
      </c>
      <c r="G118" s="2" t="s">
        <v>38</v>
      </c>
      <c r="H118" s="2" t="s">
        <v>17</v>
      </c>
      <c r="I118" s="2" t="s">
        <v>18</v>
      </c>
      <c r="J118" s="3"/>
    </row>
    <row r="119" customFormat="false" ht="48" hidden="false" customHeight="true" outlineLevel="0" collapsed="false">
      <c r="A119" s="2" t="s">
        <v>549</v>
      </c>
      <c r="B119" s="3" t="s">
        <v>541</v>
      </c>
      <c r="C119" s="3" t="s">
        <v>550</v>
      </c>
      <c r="D119" s="3" t="s">
        <v>551</v>
      </c>
      <c r="E119" s="3" t="s">
        <v>552</v>
      </c>
      <c r="F119" s="2" t="s">
        <v>55</v>
      </c>
      <c r="G119" s="2" t="s">
        <v>38</v>
      </c>
      <c r="H119" s="2" t="s">
        <v>48</v>
      </c>
      <c r="I119" s="2" t="s">
        <v>49</v>
      </c>
      <c r="J119" s="3"/>
    </row>
    <row r="120" customFormat="false" ht="48" hidden="false" customHeight="true" outlineLevel="0" collapsed="false">
      <c r="A120" s="2" t="s">
        <v>553</v>
      </c>
      <c r="B120" s="3" t="s">
        <v>541</v>
      </c>
      <c r="C120" s="3" t="s">
        <v>554</v>
      </c>
      <c r="D120" s="3" t="s">
        <v>555</v>
      </c>
      <c r="E120" s="3" t="s">
        <v>556</v>
      </c>
      <c r="F120" s="2" t="s">
        <v>55</v>
      </c>
      <c r="G120" s="2" t="s">
        <v>16</v>
      </c>
      <c r="H120" s="2" t="s">
        <v>48</v>
      </c>
      <c r="I120" s="2" t="s">
        <v>49</v>
      </c>
      <c r="J120" s="3"/>
    </row>
    <row r="121" customFormat="false" ht="48" hidden="false" customHeight="true" outlineLevel="0" collapsed="false">
      <c r="A121" s="2" t="s">
        <v>557</v>
      </c>
      <c r="B121" s="3" t="s">
        <v>541</v>
      </c>
      <c r="C121" s="3" t="s">
        <v>558</v>
      </c>
      <c r="D121" s="3" t="s">
        <v>559</v>
      </c>
      <c r="E121" s="3" t="s">
        <v>560</v>
      </c>
      <c r="F121" s="2" t="s">
        <v>47</v>
      </c>
      <c r="G121" s="2" t="s">
        <v>16</v>
      </c>
      <c r="H121" s="2" t="s">
        <v>48</v>
      </c>
      <c r="I121" s="2" t="s">
        <v>135</v>
      </c>
      <c r="J121" s="3"/>
    </row>
    <row r="122" customFormat="false" ht="48" hidden="false" customHeight="true" outlineLevel="0" collapsed="false">
      <c r="A122" s="2" t="s">
        <v>561</v>
      </c>
      <c r="B122" s="3" t="s">
        <v>541</v>
      </c>
      <c r="C122" s="3" t="s">
        <v>562</v>
      </c>
      <c r="D122" s="3" t="s">
        <v>563</v>
      </c>
      <c r="E122" s="3" t="s">
        <v>564</v>
      </c>
      <c r="F122" s="2" t="s">
        <v>55</v>
      </c>
      <c r="G122" s="2" t="s">
        <v>16</v>
      </c>
      <c r="H122" s="2" t="s">
        <v>48</v>
      </c>
      <c r="I122" s="2" t="s">
        <v>70</v>
      </c>
      <c r="J122" s="3"/>
    </row>
    <row r="123" customFormat="false" ht="48" hidden="false" customHeight="true" outlineLevel="0" collapsed="false">
      <c r="A123" s="2" t="s">
        <v>565</v>
      </c>
      <c r="B123" s="3" t="s">
        <v>541</v>
      </c>
      <c r="C123" s="3" t="s">
        <v>566</v>
      </c>
      <c r="D123" s="3" t="s">
        <v>567</v>
      </c>
      <c r="E123" s="3" t="s">
        <v>568</v>
      </c>
      <c r="F123" s="2" t="s">
        <v>47</v>
      </c>
      <c r="G123" s="2" t="s">
        <v>16</v>
      </c>
      <c r="H123" s="2" t="s">
        <v>48</v>
      </c>
      <c r="I123" s="2" t="s">
        <v>135</v>
      </c>
      <c r="J123" s="3"/>
    </row>
    <row r="124" customFormat="false" ht="48" hidden="false" customHeight="true" outlineLevel="0" collapsed="false">
      <c r="A124" s="2" t="s">
        <v>569</v>
      </c>
      <c r="B124" s="3" t="s">
        <v>541</v>
      </c>
      <c r="C124" s="3" t="s">
        <v>570</v>
      </c>
      <c r="D124" s="3" t="s">
        <v>571</v>
      </c>
      <c r="E124" s="3" t="s">
        <v>572</v>
      </c>
      <c r="F124" s="2" t="s">
        <v>47</v>
      </c>
      <c r="G124" s="2" t="s">
        <v>38</v>
      </c>
      <c r="H124" s="2" t="s">
        <v>48</v>
      </c>
      <c r="I124" s="2" t="s">
        <v>135</v>
      </c>
      <c r="J124" s="3"/>
    </row>
  </sheetData>
  <autoFilter ref="A1:J124"/>
  <conditionalFormatting sqref="H2:H124">
    <cfRule type="cellIs" priority="2" operator="equal" aboveAverage="0" equalAverage="0" bottom="0" percent="0" rank="0" text="" dxfId="10">
      <formula>"Hecho"</formula>
    </cfRule>
    <cfRule type="cellIs" priority="3" operator="equal" aboveAverage="0" equalAverage="0" bottom="0" percent="0" rank="0" text="" dxfId="11">
      <formula>"En Progreso"</formula>
    </cfRule>
    <cfRule type="cellIs" priority="4" operator="equal" aboveAverage="0" equalAverage="0" bottom="0" percent="0" rank="0" text="" dxfId="12">
      <formula>"Pendiente"</formula>
    </cfRule>
  </conditionalFormatting>
  <conditionalFormatting sqref="F2:F124">
    <cfRule type="cellIs" priority="5" operator="equal" aboveAverage="0" equalAverage="0" bottom="0" percent="0" rank="0" text="" dxfId="13">
      <formula>"P0"</formula>
    </cfRule>
    <cfRule type="cellIs" priority="6" operator="equal" aboveAverage="0" equalAverage="0" bottom="0" percent="0" rank="0" text="" dxfId="14">
      <formula>"P1"</formula>
    </cfRule>
    <cfRule type="cellIs" priority="7" operator="equal" aboveAverage="0" equalAverage="0" bottom="0" percent="0" rank="0" text="" dxfId="15">
      <formula>"P2"</formula>
    </cfRule>
    <cfRule type="cellIs" priority="8" operator="equal" aboveAverage="0" equalAverage="0" bottom="0" percent="0" rank="0" text="" dxfId="16">
      <formula>"P3"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30" hidden="false" customHeight="true" outlineLevel="0" collapsed="false">
      <c r="A1" s="4" t="s">
        <v>573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574</v>
      </c>
      <c r="B3" s="6" t="n">
        <f aca="false">COUNTA(Backlog!A2:A124)</f>
        <v>123</v>
      </c>
    </row>
    <row r="4" customFormat="false" ht="15" hidden="false" customHeight="false" outlineLevel="0" collapsed="false">
      <c r="A4" s="5" t="s">
        <v>575</v>
      </c>
      <c r="B4" s="6" t="n">
        <f aca="false">COUNTIF(Backlog!H2:H124,"Hecho")</f>
        <v>32</v>
      </c>
    </row>
    <row r="5" customFormat="false" ht="15" hidden="false" customHeight="false" outlineLevel="0" collapsed="false">
      <c r="A5" s="5" t="s">
        <v>266</v>
      </c>
      <c r="B5" s="6" t="n">
        <f aca="false">COUNTIF(Backlog!H2:H124,"En Progreso")</f>
        <v>1</v>
      </c>
    </row>
    <row r="6" customFormat="false" ht="15" hidden="false" customHeight="false" outlineLevel="0" collapsed="false">
      <c r="A6" s="5" t="s">
        <v>576</v>
      </c>
      <c r="B6" s="6" t="n">
        <f aca="false">COUNTIF(Backlog!H2:H124,"Pendiente")</f>
        <v>90</v>
      </c>
    </row>
    <row r="7" customFormat="false" ht="15" hidden="false" customHeight="false" outlineLevel="0" collapsed="false">
      <c r="A7" s="5" t="s">
        <v>577</v>
      </c>
      <c r="B7" s="7" t="n">
        <f aca="false">B4/B3</f>
        <v>0.260162601626016</v>
      </c>
    </row>
    <row r="9" customFormat="false" ht="16.15" hidden="false" customHeight="false" outlineLevel="0" collapsed="false">
      <c r="A9" s="8" t="s">
        <v>578</v>
      </c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1" t="s">
        <v>1</v>
      </c>
      <c r="B10" s="1" t="s">
        <v>579</v>
      </c>
      <c r="C10" s="1" t="s">
        <v>575</v>
      </c>
      <c r="D10" s="1" t="s">
        <v>266</v>
      </c>
      <c r="E10" s="1" t="s">
        <v>576</v>
      </c>
      <c r="F10" s="1" t="s">
        <v>580</v>
      </c>
      <c r="G10" s="1" t="s">
        <v>581</v>
      </c>
    </row>
    <row r="11" customFormat="false" ht="15" hidden="false" customHeight="false" outlineLevel="0" collapsed="false">
      <c r="A11" s="9" t="s">
        <v>11</v>
      </c>
      <c r="B11" s="2" t="n">
        <f aca="false">COUNTIF(Backlog!B2:B124,A11)</f>
        <v>10</v>
      </c>
      <c r="C11" s="2" t="n">
        <f aca="false">COUNTIFS(Backlog!B2:B124,A11,Backlog!H2:H124,"Hecho")</f>
        <v>6</v>
      </c>
      <c r="D11" s="2" t="n">
        <f aca="false">COUNTIFS(Backlog!B2:B124,A11,Backlog!H2:H124,"En Progreso")</f>
        <v>0</v>
      </c>
      <c r="E11" s="2" t="n">
        <f aca="false">COUNTIFS(Backlog!B2:B124,A11,Backlog!H2:H124,"Pendiente")</f>
        <v>4</v>
      </c>
      <c r="F11" s="10" t="n">
        <f aca="false">IFERROR(C11/B11,0)</f>
        <v>0.6</v>
      </c>
      <c r="G11" s="2" t="n">
        <f aca="false">COUNTIFS(Backlog!B2:B124,A11,Backlog!F2:F124,"P0",Backlog!H2:H124,"Pendiente")</f>
        <v>0</v>
      </c>
    </row>
    <row r="12" customFormat="false" ht="15" hidden="false" customHeight="false" outlineLevel="0" collapsed="false">
      <c r="A12" s="9" t="s">
        <v>72</v>
      </c>
      <c r="B12" s="2" t="n">
        <f aca="false">COUNTIF(Backlog!B2:B124,A12)</f>
        <v>7</v>
      </c>
      <c r="C12" s="2" t="n">
        <f aca="false">COUNTIFS(Backlog!B2:B124,A12,Backlog!H2:H124,"Hecho")</f>
        <v>4</v>
      </c>
      <c r="D12" s="2" t="n">
        <f aca="false">COUNTIFS(Backlog!B2:B124,A12,Backlog!H2:H124,"En Progreso")</f>
        <v>0</v>
      </c>
      <c r="E12" s="2" t="n">
        <f aca="false">COUNTIFS(Backlog!B2:B124,A12,Backlog!H2:H124,"Pendiente")</f>
        <v>3</v>
      </c>
      <c r="F12" s="10" t="n">
        <f aca="false">IFERROR(C12/B12,0)</f>
        <v>0.571428571428571</v>
      </c>
      <c r="G12" s="2" t="n">
        <f aca="false">COUNTIFS(Backlog!B2:B124,A12,Backlog!F2:F124,"P0",Backlog!H2:H124,"Pendiente")</f>
        <v>0</v>
      </c>
    </row>
    <row r="13" customFormat="false" ht="15" hidden="false" customHeight="false" outlineLevel="0" collapsed="false">
      <c r="A13" s="9" t="s">
        <v>105</v>
      </c>
      <c r="B13" s="2" t="n">
        <f aca="false">COUNTIF(Backlog!B2:B124,A13)</f>
        <v>7</v>
      </c>
      <c r="C13" s="2" t="n">
        <f aca="false">COUNTIFS(Backlog!B2:B124,A13,Backlog!H2:H124,"Hecho")</f>
        <v>3</v>
      </c>
      <c r="D13" s="2" t="n">
        <f aca="false">COUNTIFS(Backlog!B2:B124,A13,Backlog!H2:H124,"En Progreso")</f>
        <v>0</v>
      </c>
      <c r="E13" s="2" t="n">
        <f aca="false">COUNTIFS(Backlog!B2:B124,A13,Backlog!H2:H124,"Pendiente")</f>
        <v>4</v>
      </c>
      <c r="F13" s="10" t="n">
        <f aca="false">IFERROR(C13/B13,0)</f>
        <v>0.428571428571429</v>
      </c>
      <c r="G13" s="2" t="n">
        <f aca="false">COUNTIFS(Backlog!B2:B124,A13,Backlog!F2:F124,"P0",Backlog!H2:H124,"Pendiente")</f>
        <v>0</v>
      </c>
    </row>
    <row r="14" customFormat="false" ht="15" hidden="false" customHeight="false" outlineLevel="0" collapsed="false">
      <c r="A14" s="9" t="s">
        <v>138</v>
      </c>
      <c r="B14" s="2" t="n">
        <f aca="false">COUNTIF(Backlog!B2:B124,A14)</f>
        <v>8</v>
      </c>
      <c r="C14" s="2" t="n">
        <f aca="false">COUNTIFS(Backlog!B2:B124,A14,Backlog!H2:H124,"Hecho")</f>
        <v>5</v>
      </c>
      <c r="D14" s="2" t="n">
        <f aca="false">COUNTIFS(Backlog!B2:B124,A14,Backlog!H2:H124,"En Progreso")</f>
        <v>0</v>
      </c>
      <c r="E14" s="2" t="n">
        <f aca="false">COUNTIFS(Backlog!B2:B124,A14,Backlog!H2:H124,"Pendiente")</f>
        <v>3</v>
      </c>
      <c r="F14" s="10" t="n">
        <f aca="false">IFERROR(C14/B14,0)</f>
        <v>0.625</v>
      </c>
      <c r="G14" s="2" t="n">
        <f aca="false">COUNTIFS(Backlog!B2:B124,A14,Backlog!F2:F124,"P0",Backlog!H2:H124,"Pendiente")</f>
        <v>0</v>
      </c>
    </row>
    <row r="15" customFormat="false" ht="15" hidden="false" customHeight="false" outlineLevel="0" collapsed="false">
      <c r="A15" s="9" t="s">
        <v>176</v>
      </c>
      <c r="B15" s="2" t="n">
        <f aca="false">COUNTIF(Backlog!B2:B124,A15)</f>
        <v>9</v>
      </c>
      <c r="C15" s="2" t="n">
        <f aca="false">COUNTIFS(Backlog!B2:B124,A15,Backlog!H2:H124,"Hecho")</f>
        <v>3</v>
      </c>
      <c r="D15" s="2" t="n">
        <f aca="false">COUNTIFS(Backlog!B2:B124,A15,Backlog!H2:H124,"En Progreso")</f>
        <v>0</v>
      </c>
      <c r="E15" s="2" t="n">
        <f aca="false">COUNTIFS(Backlog!B2:B124,A15,Backlog!H2:H124,"Pendiente")</f>
        <v>6</v>
      </c>
      <c r="F15" s="10" t="n">
        <f aca="false">IFERROR(C15/B15,0)</f>
        <v>0.333333333333333</v>
      </c>
      <c r="G15" s="2" t="n">
        <f aca="false">COUNTIFS(Backlog!B2:B124,A15,Backlog!F2:F124,"P0",Backlog!H2:H124,"Pendiente")</f>
        <v>0</v>
      </c>
    </row>
    <row r="16" customFormat="false" ht="15" hidden="false" customHeight="false" outlineLevel="0" collapsed="false">
      <c r="A16" s="9" t="s">
        <v>217</v>
      </c>
      <c r="B16" s="2" t="n">
        <f aca="false">COUNTIF(Backlog!B2:B124,A16)</f>
        <v>10</v>
      </c>
      <c r="C16" s="2" t="n">
        <f aca="false">COUNTIFS(Backlog!B2:B124,A16,Backlog!H2:H124,"Hecho")</f>
        <v>4</v>
      </c>
      <c r="D16" s="2" t="n">
        <f aca="false">COUNTIFS(Backlog!B2:B124,A16,Backlog!H2:H124,"En Progreso")</f>
        <v>0</v>
      </c>
      <c r="E16" s="2" t="n">
        <f aca="false">COUNTIFS(Backlog!B2:B124,A16,Backlog!H2:H124,"Pendiente")</f>
        <v>6</v>
      </c>
      <c r="F16" s="10" t="n">
        <f aca="false">IFERROR(C16/B16,0)</f>
        <v>0.4</v>
      </c>
      <c r="G16" s="2" t="n">
        <f aca="false">COUNTIFS(Backlog!B2:B124,A16,Backlog!F2:F124,"P0",Backlog!H2:H124,"Pendiente")</f>
        <v>1</v>
      </c>
    </row>
    <row r="17" customFormat="false" ht="15" hidden="false" customHeight="false" outlineLevel="0" collapsed="false">
      <c r="A17" s="9" t="s">
        <v>262</v>
      </c>
      <c r="B17" s="2" t="n">
        <f aca="false">COUNTIF(Backlog!B2:B124,A17)</f>
        <v>10</v>
      </c>
      <c r="C17" s="2" t="n">
        <f aca="false">COUNTIFS(Backlog!B2:B124,A17,Backlog!H2:H124,"Hecho")</f>
        <v>0</v>
      </c>
      <c r="D17" s="2" t="n">
        <f aca="false">COUNTIFS(Backlog!B2:B124,A17,Backlog!H2:H124,"En Progreso")</f>
        <v>1</v>
      </c>
      <c r="E17" s="2" t="n">
        <f aca="false">COUNTIFS(Backlog!B2:B124,A17,Backlog!H2:H124,"Pendiente")</f>
        <v>9</v>
      </c>
      <c r="F17" s="10" t="n">
        <f aca="false">IFERROR(C17/B17,0)</f>
        <v>0</v>
      </c>
      <c r="G17" s="2" t="n">
        <f aca="false">COUNTIFS(Backlog!B2:B124,A17,Backlog!F2:F124,"P0",Backlog!H2:H124,"Pendiente")</f>
        <v>5</v>
      </c>
    </row>
    <row r="18" customFormat="false" ht="15" hidden="false" customHeight="false" outlineLevel="0" collapsed="false">
      <c r="A18" s="9" t="s">
        <v>306</v>
      </c>
      <c r="B18" s="2" t="n">
        <f aca="false">COUNTIF(Backlog!B2:B124,A18)</f>
        <v>9</v>
      </c>
      <c r="C18" s="2" t="n">
        <f aca="false">COUNTIFS(Backlog!B2:B124,A18,Backlog!H2:H124,"Hecho")</f>
        <v>0</v>
      </c>
      <c r="D18" s="2" t="n">
        <f aca="false">COUNTIFS(Backlog!B2:B124,A18,Backlog!H2:H124,"En Progreso")</f>
        <v>0</v>
      </c>
      <c r="E18" s="2" t="n">
        <f aca="false">COUNTIFS(Backlog!B2:B124,A18,Backlog!H2:H124,"Pendiente")</f>
        <v>9</v>
      </c>
      <c r="F18" s="10" t="n">
        <f aca="false">IFERROR(C18/B18,0)</f>
        <v>0</v>
      </c>
      <c r="G18" s="2" t="n">
        <f aca="false">COUNTIFS(Backlog!B2:B124,A18,Backlog!F2:F124,"P0",Backlog!H2:H124,"Pendiente")</f>
        <v>4</v>
      </c>
    </row>
    <row r="19" customFormat="false" ht="15" hidden="false" customHeight="false" outlineLevel="0" collapsed="false">
      <c r="A19" s="9" t="s">
        <v>345</v>
      </c>
      <c r="B19" s="2" t="n">
        <f aca="false">COUNTIF(Backlog!B2:B124,A19)</f>
        <v>6</v>
      </c>
      <c r="C19" s="2" t="n">
        <f aca="false">COUNTIFS(Backlog!B2:B124,A19,Backlog!H2:H124,"Hecho")</f>
        <v>0</v>
      </c>
      <c r="D19" s="2" t="n">
        <f aca="false">COUNTIFS(Backlog!B2:B124,A19,Backlog!H2:H124,"En Progreso")</f>
        <v>0</v>
      </c>
      <c r="E19" s="2" t="n">
        <f aca="false">COUNTIFS(Backlog!B2:B124,A19,Backlog!H2:H124,"Pendiente")</f>
        <v>6</v>
      </c>
      <c r="F19" s="10" t="n">
        <f aca="false">IFERROR(C19/B19,0)</f>
        <v>0</v>
      </c>
      <c r="G19" s="2" t="n">
        <f aca="false">COUNTIFS(Backlog!B2:B124,A19,Backlog!F2:F124,"P0",Backlog!H2:H124,"Pendiente")</f>
        <v>1</v>
      </c>
    </row>
    <row r="20" customFormat="false" ht="15" hidden="false" customHeight="false" outlineLevel="0" collapsed="false">
      <c r="A20" s="9" t="s">
        <v>372</v>
      </c>
      <c r="B20" s="2" t="n">
        <f aca="false">COUNTIF(Backlog!B2:B124,A20)</f>
        <v>5</v>
      </c>
      <c r="C20" s="2" t="n">
        <f aca="false">COUNTIFS(Backlog!B2:B124,A20,Backlog!H2:H124,"Hecho")</f>
        <v>0</v>
      </c>
      <c r="D20" s="2" t="n">
        <f aca="false">COUNTIFS(Backlog!B2:B124,A20,Backlog!H2:H124,"En Progreso")</f>
        <v>0</v>
      </c>
      <c r="E20" s="2" t="n">
        <f aca="false">COUNTIFS(Backlog!B2:B124,A20,Backlog!H2:H124,"Pendiente")</f>
        <v>5</v>
      </c>
      <c r="F20" s="10" t="n">
        <f aca="false">IFERROR(C20/B20,0)</f>
        <v>0</v>
      </c>
      <c r="G20" s="2" t="n">
        <f aca="false">COUNTIFS(Backlog!B2:B124,A20,Backlog!F2:F124,"P0",Backlog!H2:H124,"Pendiente")</f>
        <v>1</v>
      </c>
    </row>
    <row r="21" customFormat="false" ht="15" hidden="false" customHeight="false" outlineLevel="0" collapsed="false">
      <c r="A21" s="9" t="s">
        <v>393</v>
      </c>
      <c r="B21" s="2" t="n">
        <f aca="false">COUNTIF(Backlog!B2:B124,A21)</f>
        <v>5</v>
      </c>
      <c r="C21" s="2" t="n">
        <f aca="false">COUNTIFS(Backlog!B2:B124,A21,Backlog!H2:H124,"Hecho")</f>
        <v>0</v>
      </c>
      <c r="D21" s="2" t="n">
        <f aca="false">COUNTIFS(Backlog!B2:B124,A21,Backlog!H2:H124,"En Progreso")</f>
        <v>0</v>
      </c>
      <c r="E21" s="2" t="n">
        <f aca="false">COUNTIFS(Backlog!B2:B124,A21,Backlog!H2:H124,"Pendiente")</f>
        <v>5</v>
      </c>
      <c r="F21" s="10" t="n">
        <f aca="false">IFERROR(C21/B21,0)</f>
        <v>0</v>
      </c>
      <c r="G21" s="2" t="n">
        <f aca="false">COUNTIFS(Backlog!B2:B124,A21,Backlog!F2:F124,"P0",Backlog!H2:H124,"Pendiente")</f>
        <v>0</v>
      </c>
    </row>
    <row r="22" customFormat="false" ht="15" hidden="false" customHeight="false" outlineLevel="0" collapsed="false">
      <c r="A22" s="9" t="s">
        <v>414</v>
      </c>
      <c r="B22" s="2" t="n">
        <f aca="false">COUNTIF(Backlog!B2:B124,A22)</f>
        <v>7</v>
      </c>
      <c r="C22" s="2" t="n">
        <f aca="false">COUNTIFS(Backlog!B2:B124,A22,Backlog!H2:H124,"Hecho")</f>
        <v>2</v>
      </c>
      <c r="D22" s="2" t="n">
        <f aca="false">COUNTIFS(Backlog!B2:B124,A22,Backlog!H2:H124,"En Progreso")</f>
        <v>0</v>
      </c>
      <c r="E22" s="2" t="n">
        <f aca="false">COUNTIFS(Backlog!B2:B124,A22,Backlog!H2:H124,"Pendiente")</f>
        <v>5</v>
      </c>
      <c r="F22" s="10" t="n">
        <f aca="false">IFERROR(C22/B22,0)</f>
        <v>0.285714285714286</v>
      </c>
      <c r="G22" s="2" t="n">
        <f aca="false">COUNTIFS(Backlog!B2:B124,A22,Backlog!F2:F124,"P0",Backlog!H2:H124,"Pendiente")</f>
        <v>0</v>
      </c>
    </row>
    <row r="23" customFormat="false" ht="15" hidden="false" customHeight="false" outlineLevel="0" collapsed="false">
      <c r="A23" s="9" t="s">
        <v>445</v>
      </c>
      <c r="B23" s="2" t="n">
        <f aca="false">COUNTIF(Backlog!B2:B124,A23)</f>
        <v>8</v>
      </c>
      <c r="C23" s="2" t="n">
        <f aca="false">COUNTIFS(Backlog!B2:B124,A23,Backlog!H2:H124,"Hecho")</f>
        <v>1</v>
      </c>
      <c r="D23" s="2" t="n">
        <f aca="false">COUNTIFS(Backlog!B2:B124,A23,Backlog!H2:H124,"En Progreso")</f>
        <v>0</v>
      </c>
      <c r="E23" s="2" t="n">
        <f aca="false">COUNTIFS(Backlog!B2:B124,A23,Backlog!H2:H124,"Pendiente")</f>
        <v>7</v>
      </c>
      <c r="F23" s="10" t="n">
        <f aca="false">IFERROR(C23/B23,0)</f>
        <v>0.125</v>
      </c>
      <c r="G23" s="2" t="n">
        <f aca="false">COUNTIFS(Backlog!B2:B124,A23,Backlog!F2:F124,"P0",Backlog!H2:H124,"Pendiente")</f>
        <v>0</v>
      </c>
    </row>
    <row r="24" customFormat="false" ht="15" hidden="false" customHeight="false" outlineLevel="0" collapsed="false">
      <c r="A24" s="9" t="s">
        <v>480</v>
      </c>
      <c r="B24" s="2" t="n">
        <f aca="false">COUNTIF(Backlog!B2:B124,A24)</f>
        <v>8</v>
      </c>
      <c r="C24" s="2" t="n">
        <f aca="false">COUNTIFS(Backlog!B2:B124,A24,Backlog!H2:H124,"Hecho")</f>
        <v>2</v>
      </c>
      <c r="D24" s="2" t="n">
        <f aca="false">COUNTIFS(Backlog!B2:B124,A24,Backlog!H2:H124,"En Progreso")</f>
        <v>0</v>
      </c>
      <c r="E24" s="2" t="n">
        <f aca="false">COUNTIFS(Backlog!B2:B124,A24,Backlog!H2:H124,"Pendiente")</f>
        <v>6</v>
      </c>
      <c r="F24" s="10" t="n">
        <f aca="false">IFERROR(C24/B24,0)</f>
        <v>0.25</v>
      </c>
      <c r="G24" s="2" t="n">
        <f aca="false">COUNTIFS(Backlog!B2:B124,A24,Backlog!F2:F124,"P0",Backlog!H2:H124,"Pendiente")</f>
        <v>1</v>
      </c>
    </row>
    <row r="25" customFormat="false" ht="15" hidden="false" customHeight="false" outlineLevel="0" collapsed="false">
      <c r="A25" s="9" t="s">
        <v>516</v>
      </c>
      <c r="B25" s="2" t="n">
        <f aca="false">COUNTIF(Backlog!B2:B124,A25)</f>
        <v>6</v>
      </c>
      <c r="C25" s="2" t="n">
        <f aca="false">COUNTIFS(Backlog!B2:B124,A25,Backlog!H2:H124,"Hecho")</f>
        <v>0</v>
      </c>
      <c r="D25" s="2" t="n">
        <f aca="false">COUNTIFS(Backlog!B2:B124,A25,Backlog!H2:H124,"En Progreso")</f>
        <v>0</v>
      </c>
      <c r="E25" s="2" t="n">
        <f aca="false">COUNTIFS(Backlog!B2:B124,A25,Backlog!H2:H124,"Pendiente")</f>
        <v>6</v>
      </c>
      <c r="F25" s="10" t="n">
        <f aca="false">IFERROR(C25/B25,0)</f>
        <v>0</v>
      </c>
      <c r="G25" s="2" t="n">
        <f aca="false">COUNTIFS(Backlog!B2:B124,A25,Backlog!F2:F124,"P0",Backlog!H2:H124,"Pendiente")</f>
        <v>0</v>
      </c>
    </row>
    <row r="26" customFormat="false" ht="15" hidden="false" customHeight="false" outlineLevel="0" collapsed="false">
      <c r="A26" s="9" t="s">
        <v>541</v>
      </c>
      <c r="B26" s="2" t="n">
        <f aca="false">COUNTIF(Backlog!B2:B124,A26)</f>
        <v>8</v>
      </c>
      <c r="C26" s="2" t="n">
        <f aca="false">COUNTIFS(Backlog!B2:B124,A26,Backlog!H2:H124,"Hecho")</f>
        <v>2</v>
      </c>
      <c r="D26" s="2" t="n">
        <f aca="false">COUNTIFS(Backlog!B2:B124,A26,Backlog!H2:H124,"En Progreso")</f>
        <v>0</v>
      </c>
      <c r="E26" s="2" t="n">
        <f aca="false">COUNTIFS(Backlog!B2:B124,A26,Backlog!H2:H124,"Pendiente")</f>
        <v>6</v>
      </c>
      <c r="F26" s="10" t="n">
        <f aca="false">IFERROR(C26/B26,0)</f>
        <v>0.25</v>
      </c>
      <c r="G26" s="2" t="n">
        <f aca="false">COUNTIFS(Backlog!B2:B124,A26,Backlog!F2:F124,"P0",Backlog!H2:H124,"Pendiente")</f>
        <v>0</v>
      </c>
    </row>
    <row r="27" customFormat="false" ht="15" hidden="false" customHeight="false" outlineLevel="0" collapsed="false">
      <c r="A27" s="11" t="s">
        <v>582</v>
      </c>
      <c r="B27" s="12" t="n">
        <f aca="false">SUM(B11:B26)</f>
        <v>123</v>
      </c>
      <c r="C27" s="12" t="n">
        <f aca="false">SUM(C11:C26)</f>
        <v>32</v>
      </c>
      <c r="D27" s="12" t="n">
        <f aca="false">SUM(D11:D26)</f>
        <v>1</v>
      </c>
      <c r="E27" s="12" t="n">
        <f aca="false">SUM(E11:E26)</f>
        <v>90</v>
      </c>
      <c r="F27" s="13" t="n">
        <f aca="false">IFERROR(C27/B27,0)</f>
        <v>0.260162601626016</v>
      </c>
      <c r="G27" s="12" t="n">
        <f aca="false">SUM(G11:G26)</f>
        <v>13</v>
      </c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10"/>
  </cols>
  <sheetData>
    <row r="1" customFormat="false" ht="15" hidden="false" customHeight="true" outlineLevel="0" collapsed="false">
      <c r="A1" s="14" t="s">
        <v>583</v>
      </c>
      <c r="B1" s="14"/>
      <c r="C1" s="14"/>
    </row>
    <row r="2" customFormat="false" ht="15" hidden="false" customHeight="false" outlineLevel="0" collapsed="false">
      <c r="A2" s="15"/>
      <c r="B2" s="16"/>
    </row>
    <row r="3" customFormat="false" ht="15" hidden="false" customHeight="false" outlineLevel="0" collapsed="false">
      <c r="A3" s="15" t="s">
        <v>584</v>
      </c>
      <c r="B3" s="16"/>
    </row>
    <row r="4" customFormat="false" ht="15" hidden="false" customHeight="false" outlineLevel="0" collapsed="false">
      <c r="A4" s="15" t="s">
        <v>0</v>
      </c>
      <c r="B4" s="16" t="s">
        <v>585</v>
      </c>
    </row>
    <row r="5" customFormat="false" ht="15" hidden="false" customHeight="false" outlineLevel="0" collapsed="false">
      <c r="A5" s="15" t="s">
        <v>1</v>
      </c>
      <c r="B5" s="16" t="s">
        <v>586</v>
      </c>
    </row>
    <row r="6" customFormat="false" ht="15" hidden="false" customHeight="false" outlineLevel="0" collapsed="false">
      <c r="A6" s="15" t="s">
        <v>3</v>
      </c>
      <c r="B6" s="16" t="s">
        <v>587</v>
      </c>
    </row>
    <row r="7" customFormat="false" ht="15" hidden="false" customHeight="false" outlineLevel="0" collapsed="false">
      <c r="A7" s="15" t="s">
        <v>588</v>
      </c>
      <c r="B7" s="16" t="s">
        <v>589</v>
      </c>
    </row>
    <row r="8" customFormat="false" ht="15" hidden="false" customHeight="false" outlineLevel="0" collapsed="false">
      <c r="A8" s="15" t="s">
        <v>5</v>
      </c>
      <c r="B8" s="16" t="s">
        <v>590</v>
      </c>
    </row>
    <row r="9" customFormat="false" ht="15" hidden="false" customHeight="false" outlineLevel="0" collapsed="false">
      <c r="A9" s="15" t="s">
        <v>6</v>
      </c>
      <c r="B9" s="16" t="s">
        <v>591</v>
      </c>
    </row>
    <row r="10" customFormat="false" ht="15" hidden="false" customHeight="false" outlineLevel="0" collapsed="false">
      <c r="A10" s="15" t="s">
        <v>7</v>
      </c>
      <c r="B10" s="16" t="s">
        <v>592</v>
      </c>
    </row>
    <row r="11" customFormat="false" ht="15" hidden="false" customHeight="false" outlineLevel="0" collapsed="false">
      <c r="A11" s="15" t="s">
        <v>8</v>
      </c>
      <c r="B11" s="16" t="s">
        <v>593</v>
      </c>
    </row>
    <row r="12" customFormat="false" ht="15" hidden="false" customHeight="false" outlineLevel="0" collapsed="false">
      <c r="A12" s="15"/>
      <c r="B12" s="16"/>
    </row>
    <row r="13" customFormat="false" ht="15" hidden="false" customHeight="false" outlineLevel="0" collapsed="false">
      <c r="A13" s="15" t="s">
        <v>594</v>
      </c>
      <c r="B13" s="16"/>
    </row>
    <row r="14" customFormat="false" ht="15" hidden="false" customHeight="false" outlineLevel="0" collapsed="false">
      <c r="A14" s="15" t="s">
        <v>18</v>
      </c>
      <c r="B14" s="16" t="s">
        <v>595</v>
      </c>
    </row>
    <row r="15" customFormat="false" ht="15" hidden="false" customHeight="false" outlineLevel="0" collapsed="false">
      <c r="A15" s="15" t="s">
        <v>142</v>
      </c>
      <c r="B15" s="16" t="s">
        <v>596</v>
      </c>
    </row>
    <row r="16" customFormat="false" ht="15" hidden="false" customHeight="false" outlineLevel="0" collapsed="false">
      <c r="A16" s="15" t="s">
        <v>238</v>
      </c>
      <c r="B16" s="16" t="s">
        <v>597</v>
      </c>
    </row>
    <row r="17" customFormat="false" ht="15" hidden="false" customHeight="false" outlineLevel="0" collapsed="false">
      <c r="A17" s="15" t="s">
        <v>70</v>
      </c>
      <c r="B17" s="16" t="s">
        <v>598</v>
      </c>
    </row>
    <row r="18" customFormat="false" ht="15" hidden="false" customHeight="false" outlineLevel="0" collapsed="false">
      <c r="A18" s="15" t="s">
        <v>135</v>
      </c>
      <c r="B18" s="16" t="s">
        <v>599</v>
      </c>
    </row>
    <row r="19" customFormat="false" ht="15" hidden="false" customHeight="false" outlineLevel="0" collapsed="false">
      <c r="A19" s="15" t="s">
        <v>600</v>
      </c>
      <c r="B19" s="16" t="s">
        <v>601</v>
      </c>
    </row>
    <row r="20" customFormat="false" ht="15" hidden="false" customHeight="false" outlineLevel="0" collapsed="false">
      <c r="A20" s="15" t="s">
        <v>64</v>
      </c>
      <c r="B20" s="16" t="s">
        <v>602</v>
      </c>
    </row>
    <row r="21" customFormat="false" ht="15" hidden="false" customHeight="false" outlineLevel="0" collapsed="false">
      <c r="A21" s="15"/>
      <c r="B21" s="16"/>
    </row>
    <row r="22" customFormat="false" ht="15" hidden="false" customHeight="false" outlineLevel="0" collapsed="false">
      <c r="A22" s="15" t="s">
        <v>603</v>
      </c>
      <c r="B22" s="16"/>
    </row>
    <row r="23" customFormat="false" ht="15" hidden="false" customHeight="false" outlineLevel="0" collapsed="false">
      <c r="A23" s="15" t="s">
        <v>604</v>
      </c>
      <c r="B23" s="16" t="s">
        <v>605</v>
      </c>
    </row>
    <row r="24" customFormat="false" ht="15" hidden="false" customHeight="false" outlineLevel="0" collapsed="false">
      <c r="A24" s="15" t="s">
        <v>606</v>
      </c>
      <c r="B24" s="16" t="s">
        <v>607</v>
      </c>
    </row>
    <row r="25" customFormat="false" ht="15" hidden="false" customHeight="false" outlineLevel="0" collapsed="false">
      <c r="A25" s="15" t="s">
        <v>608</v>
      </c>
      <c r="B25" s="16" t="s">
        <v>609</v>
      </c>
    </row>
    <row r="26" customFormat="false" ht="15" hidden="false" customHeight="false" outlineLevel="0" collapsed="false">
      <c r="A26" s="15" t="s">
        <v>610</v>
      </c>
      <c r="B26" s="16" t="s">
        <v>611</v>
      </c>
    </row>
    <row r="27" customFormat="false" ht="15" hidden="false" customHeight="false" outlineLevel="0" collapsed="false">
      <c r="A27" s="15" t="s">
        <v>612</v>
      </c>
      <c r="B27" s="16" t="s">
        <v>613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2026-04-23T17:09:16Z</dcterms:created>
  <dc:creator>openpyxl</dc:creator>
  <dc:description/>
  <dc:language>en-US</dc:language>
  <cp:lastModifiedBy/>
  <dcterms:modified xsi:type="dcterms:W3CDTF">2026-04-23T17:09:16Z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